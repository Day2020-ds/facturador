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23.bin" ContentType="application/vnd.ms-office.activeX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activeX/activeX3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24.xml" ContentType="application/vnd.ms-office.activeX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Default Extension="png" ContentType="image/png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24.bin" ContentType="application/vnd.ms-office.activeX"/>
  <Override PartName="/xl/activeX/activeX6.xml" ContentType="application/vnd.ms-office.activeX+xml"/>
  <Default Extension="emf" ContentType="image/x-emf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5" windowWidth="12120" windowHeight="9120" tabRatio="485"/>
  </bookViews>
  <sheets>
    <sheet name="CFD" sheetId="1" r:id="rId1"/>
    <sheet name="Productos" sheetId="4" r:id="rId2"/>
    <sheet name="Clientes" sheetId="2" r:id="rId3"/>
    <sheet name="Config" sheetId="3" r:id="rId4"/>
  </sheets>
  <functionGroups/>
  <definedNames>
    <definedName name="_xlnm.Print_Area" localSheetId="0">CFD!$A$6:$S$81</definedName>
  </definedNames>
  <calcPr calcId="125725"/>
</workbook>
</file>

<file path=xl/calcChain.xml><?xml version="1.0" encoding="utf-8"?>
<calcChain xmlns="http://schemas.openxmlformats.org/spreadsheetml/2006/main">
  <c r="R59" i="1"/>
  <c r="Q59"/>
  <c r="P59"/>
  <c r="O59"/>
  <c r="N59"/>
  <c r="M59"/>
  <c r="L59"/>
  <c r="K59"/>
  <c r="J59"/>
  <c r="I59"/>
  <c r="G59"/>
  <c r="D59"/>
  <c r="B59" s="1"/>
  <c r="R58"/>
  <c r="Q58"/>
  <c r="P58"/>
  <c r="O58"/>
  <c r="N58"/>
  <c r="M58"/>
  <c r="L58"/>
  <c r="K58"/>
  <c r="J58"/>
  <c r="I58"/>
  <c r="G58"/>
  <c r="D58"/>
  <c r="B58" s="1"/>
  <c r="R57"/>
  <c r="Q57"/>
  <c r="P57"/>
  <c r="O57"/>
  <c r="N57"/>
  <c r="M57"/>
  <c r="L57"/>
  <c r="K57"/>
  <c r="J57"/>
  <c r="I57"/>
  <c r="G57"/>
  <c r="D57"/>
  <c r="B57" s="1"/>
  <c r="R56"/>
  <c r="Q56"/>
  <c r="P56"/>
  <c r="O56"/>
  <c r="N56"/>
  <c r="M56"/>
  <c r="L56"/>
  <c r="K56"/>
  <c r="J56"/>
  <c r="I56"/>
  <c r="G56"/>
  <c r="D56"/>
  <c r="B56" s="1"/>
  <c r="R55"/>
  <c r="Q55"/>
  <c r="P55"/>
  <c r="O55"/>
  <c r="N55"/>
  <c r="M55"/>
  <c r="L55"/>
  <c r="K55"/>
  <c r="J55"/>
  <c r="I55"/>
  <c r="G55"/>
  <c r="D55"/>
  <c r="B55" s="1"/>
  <c r="R54"/>
  <c r="Q54"/>
  <c r="P54"/>
  <c r="O54"/>
  <c r="N54"/>
  <c r="M54"/>
  <c r="L54"/>
  <c r="K54"/>
  <c r="J54"/>
  <c r="I54"/>
  <c r="G54"/>
  <c r="D54"/>
  <c r="B54" s="1"/>
  <c r="R53"/>
  <c r="Q53"/>
  <c r="P53"/>
  <c r="O53"/>
  <c r="N53"/>
  <c r="M53"/>
  <c r="L53"/>
  <c r="K53"/>
  <c r="J53"/>
  <c r="I53"/>
  <c r="G53"/>
  <c r="D53"/>
  <c r="B53" s="1"/>
  <c r="R52"/>
  <c r="Q52"/>
  <c r="P52"/>
  <c r="O52"/>
  <c r="N52"/>
  <c r="M52"/>
  <c r="L52"/>
  <c r="K52"/>
  <c r="J52"/>
  <c r="I52"/>
  <c r="G52"/>
  <c r="D52"/>
  <c r="B52" s="1"/>
  <c r="R51"/>
  <c r="Q51"/>
  <c r="P51"/>
  <c r="O51"/>
  <c r="N51"/>
  <c r="M51"/>
  <c r="L51"/>
  <c r="K51"/>
  <c r="J51"/>
  <c r="I51"/>
  <c r="G51"/>
  <c r="D51"/>
  <c r="B51" s="1"/>
  <c r="R50"/>
  <c r="Q50"/>
  <c r="P50"/>
  <c r="O50"/>
  <c r="N50"/>
  <c r="M50"/>
  <c r="L50"/>
  <c r="K50"/>
  <c r="J50"/>
  <c r="I50"/>
  <c r="G50"/>
  <c r="D50"/>
  <c r="B50" s="1"/>
  <c r="R49"/>
  <c r="Q49" s="1"/>
  <c r="P49"/>
  <c r="O49"/>
  <c r="N49"/>
  <c r="M49"/>
  <c r="L49"/>
  <c r="K49"/>
  <c r="J49"/>
  <c r="I49"/>
  <c r="G49"/>
  <c r="D49"/>
  <c r="B49" s="1"/>
  <c r="R48"/>
  <c r="Q48"/>
  <c r="P48"/>
  <c r="O48"/>
  <c r="N48"/>
  <c r="M48"/>
  <c r="L48"/>
  <c r="K48"/>
  <c r="J48"/>
  <c r="I48"/>
  <c r="G48"/>
  <c r="D48"/>
  <c r="B48"/>
  <c r="R47"/>
  <c r="Q47"/>
  <c r="P47"/>
  <c r="O47"/>
  <c r="N47"/>
  <c r="M47"/>
  <c r="L47"/>
  <c r="K47"/>
  <c r="J47"/>
  <c r="I47"/>
  <c r="G47"/>
  <c r="D47"/>
  <c r="B47"/>
  <c r="R46"/>
  <c r="Q46" s="1"/>
  <c r="P46"/>
  <c r="O46"/>
  <c r="N46"/>
  <c r="M46"/>
  <c r="L46"/>
  <c r="K46"/>
  <c r="J46"/>
  <c r="I46"/>
  <c r="G46"/>
  <c r="D46"/>
  <c r="B46" s="1"/>
  <c r="R45"/>
  <c r="Q45" s="1"/>
  <c r="P45"/>
  <c r="O45"/>
  <c r="N45"/>
  <c r="M45"/>
  <c r="L45"/>
  <c r="K45"/>
  <c r="J45"/>
  <c r="I45"/>
  <c r="G45"/>
  <c r="D45"/>
  <c r="B45" s="1"/>
  <c r="R44"/>
  <c r="Q44" s="1"/>
  <c r="P44"/>
  <c r="O44"/>
  <c r="N44"/>
  <c r="M44"/>
  <c r="L44"/>
  <c r="K44"/>
  <c r="J44"/>
  <c r="I44"/>
  <c r="G44"/>
  <c r="D44"/>
  <c r="B44" s="1"/>
  <c r="R43"/>
  <c r="Q43" s="1"/>
  <c r="P43"/>
  <c r="O43"/>
  <c r="N43"/>
  <c r="M43"/>
  <c r="L43"/>
  <c r="K43"/>
  <c r="J43"/>
  <c r="I43"/>
  <c r="G43"/>
  <c r="D43"/>
  <c r="B43" s="1"/>
  <c r="R42"/>
  <c r="Q42" s="1"/>
  <c r="P42"/>
  <c r="O42"/>
  <c r="N42"/>
  <c r="M42"/>
  <c r="L42"/>
  <c r="K42"/>
  <c r="J42"/>
  <c r="I42"/>
  <c r="G42"/>
  <c r="D42"/>
  <c r="B42" s="1"/>
  <c r="R41"/>
  <c r="Q41" s="1"/>
  <c r="P41"/>
  <c r="O41"/>
  <c r="N41"/>
  <c r="M41"/>
  <c r="L41"/>
  <c r="K41"/>
  <c r="J41"/>
  <c r="I41"/>
  <c r="G41"/>
  <c r="D41"/>
  <c r="B41" s="1"/>
  <c r="R40"/>
  <c r="Q40" s="1"/>
  <c r="P40"/>
  <c r="O40"/>
  <c r="N40"/>
  <c r="M40"/>
  <c r="L40"/>
  <c r="K40"/>
  <c r="J40"/>
  <c r="I40"/>
  <c r="G40"/>
  <c r="D40"/>
  <c r="B40" s="1"/>
  <c r="R39"/>
  <c r="Q39"/>
  <c r="P39"/>
  <c r="O39"/>
  <c r="N39"/>
  <c r="M39"/>
  <c r="L39"/>
  <c r="K39"/>
  <c r="J39"/>
  <c r="I39"/>
  <c r="G39"/>
  <c r="D39"/>
  <c r="B39" s="1"/>
  <c r="R38"/>
  <c r="Q38"/>
  <c r="P38"/>
  <c r="O38"/>
  <c r="N38"/>
  <c r="M38"/>
  <c r="L38"/>
  <c r="K38"/>
  <c r="J38"/>
  <c r="I38"/>
  <c r="G38"/>
  <c r="D38"/>
  <c r="B38" s="1"/>
  <c r="R37"/>
  <c r="Q37" s="1"/>
  <c r="P37"/>
  <c r="O37"/>
  <c r="N37"/>
  <c r="M37"/>
  <c r="L37"/>
  <c r="K37"/>
  <c r="J37"/>
  <c r="I37"/>
  <c r="G37"/>
  <c r="D37"/>
  <c r="B37" s="1"/>
  <c r="R36"/>
  <c r="Q36" s="1"/>
  <c r="P36"/>
  <c r="O36"/>
  <c r="N36"/>
  <c r="M36"/>
  <c r="L36"/>
  <c r="K36"/>
  <c r="J36"/>
  <c r="I36"/>
  <c r="G36"/>
  <c r="D36"/>
  <c r="B36" s="1"/>
  <c r="R35"/>
  <c r="Q35" s="1"/>
  <c r="P35"/>
  <c r="O35"/>
  <c r="N35"/>
  <c r="M35"/>
  <c r="L35"/>
  <c r="K35"/>
  <c r="J35"/>
  <c r="I35"/>
  <c r="G35"/>
  <c r="D35"/>
  <c r="B35" s="1"/>
  <c r="R34"/>
  <c r="Q34" s="1"/>
  <c r="P34"/>
  <c r="O34"/>
  <c r="N34"/>
  <c r="M34"/>
  <c r="L34"/>
  <c r="K34"/>
  <c r="J34"/>
  <c r="I34"/>
  <c r="G34"/>
  <c r="D34"/>
  <c r="B34" s="1"/>
  <c r="R33"/>
  <c r="Q33" s="1"/>
  <c r="P33"/>
  <c r="O33"/>
  <c r="N33"/>
  <c r="M33"/>
  <c r="L33"/>
  <c r="K33"/>
  <c r="J33"/>
  <c r="I33"/>
  <c r="G33"/>
  <c r="D33"/>
  <c r="B33" s="1"/>
  <c r="R32"/>
  <c r="Q32"/>
  <c r="P32"/>
  <c r="O32"/>
  <c r="N32"/>
  <c r="M32"/>
  <c r="L32"/>
  <c r="K32"/>
  <c r="J32"/>
  <c r="I32"/>
  <c r="G32"/>
  <c r="D32"/>
  <c r="B32" s="1"/>
  <c r="K29" i="3"/>
  <c r="D38" i="4" l="1"/>
  <c r="D37"/>
  <c r="D36"/>
  <c r="D34"/>
  <c r="D31"/>
  <c r="D30"/>
  <c r="D28"/>
  <c r="I14"/>
  <c r="I7"/>
  <c r="J7" s="1"/>
  <c r="AD1" i="1" l="1"/>
  <c r="C27" l="1"/>
  <c r="C25"/>
  <c r="C21"/>
  <c r="Y5"/>
  <c r="Y4"/>
  <c r="H14"/>
  <c r="H9"/>
  <c r="D13"/>
  <c r="Q35" i="3" l="1"/>
  <c r="P35"/>
  <c r="C35" s="1"/>
  <c r="S34"/>
  <c r="S33"/>
  <c r="D17" i="1" l="1"/>
  <c r="D18"/>
  <c r="D15"/>
  <c r="D19" l="1"/>
  <c r="Y1" l="1"/>
  <c r="R26"/>
  <c r="S26"/>
  <c r="H26"/>
  <c r="H18"/>
  <c r="H16"/>
  <c r="B60"/>
  <c r="C23" l="1"/>
  <c r="G66" l="1"/>
  <c r="G65"/>
  <c r="R61"/>
  <c r="R62"/>
  <c r="R63"/>
  <c r="R64"/>
  <c r="R66" l="1"/>
  <c r="R65"/>
  <c r="R68" l="1"/>
  <c r="A64"/>
</calcChain>
</file>

<file path=xl/sharedStrings.xml><?xml version="1.0" encoding="utf-8"?>
<sst xmlns="http://schemas.openxmlformats.org/spreadsheetml/2006/main" count="333" uniqueCount="289">
  <si>
    <t>Descripción</t>
  </si>
  <si>
    <t>%</t>
  </si>
  <si>
    <t>$</t>
  </si>
  <si>
    <t>IEPS</t>
  </si>
  <si>
    <t>IVA</t>
  </si>
  <si>
    <t>E - mail</t>
  </si>
  <si>
    <t>Calle</t>
  </si>
  <si>
    <t>Colonia</t>
  </si>
  <si>
    <t>Teléfono</t>
  </si>
  <si>
    <t>No. Exterior</t>
  </si>
  <si>
    <t>No. Interior</t>
  </si>
  <si>
    <t>Referencia</t>
  </si>
  <si>
    <t>Domicilio</t>
  </si>
  <si>
    <t>Colonia :</t>
  </si>
  <si>
    <t>Localidad :</t>
  </si>
  <si>
    <t>Referencia :</t>
  </si>
  <si>
    <t>Llave Privada (Archivo .Key)</t>
  </si>
  <si>
    <t>Certificado (Archivo .Cer)</t>
  </si>
  <si>
    <t>Número:</t>
  </si>
  <si>
    <t>Repositorio de CFD’s</t>
  </si>
  <si>
    <t>* Ruta CFDs :</t>
  </si>
  <si>
    <t>* Archivo :</t>
  </si>
  <si>
    <t>* Contraseña :</t>
  </si>
  <si>
    <t>No. Exterior:</t>
  </si>
  <si>
    <t>No. Interior:</t>
  </si>
  <si>
    <t xml:space="preserve"> * Calle :</t>
  </si>
  <si>
    <t>* Municipio :</t>
  </si>
  <si>
    <t>* Estado :</t>
  </si>
  <si>
    <t>* C.P. :</t>
  </si>
  <si>
    <t>Control de Folios</t>
  </si>
  <si>
    <t>Serie</t>
  </si>
  <si>
    <t>* Folio Inicio</t>
  </si>
  <si>
    <t>Formato</t>
  </si>
  <si>
    <t>Recibo de Arrendamiento</t>
  </si>
  <si>
    <t>Recibo de Honorarios</t>
  </si>
  <si>
    <t>Tipo de Documento :</t>
  </si>
  <si>
    <t>Folio :</t>
  </si>
  <si>
    <t>Folio Utilizado</t>
  </si>
  <si>
    <t>Folio a Utilizar</t>
  </si>
  <si>
    <t>Renglon a Utilizar</t>
  </si>
  <si>
    <t>Folio</t>
  </si>
  <si>
    <t>Unidad de Medida</t>
  </si>
  <si>
    <t>Descuento%</t>
  </si>
  <si>
    <t>IEPS %</t>
  </si>
  <si>
    <t>IVA %</t>
  </si>
  <si>
    <t>Retenciones</t>
  </si>
  <si>
    <t>ISR</t>
  </si>
  <si>
    <t>Totales</t>
  </si>
  <si>
    <t>* RFC</t>
  </si>
  <si>
    <t>* RFC:</t>
  </si>
  <si>
    <t>* Razon Social:</t>
  </si>
  <si>
    <t>* Código</t>
  </si>
  <si>
    <t>* Valor Unitario</t>
  </si>
  <si>
    <t>* Razón Social</t>
  </si>
  <si>
    <t>CLAVE DE CARGO</t>
  </si>
  <si>
    <t>CANTIDAD</t>
  </si>
  <si>
    <t>TOTAL</t>
  </si>
  <si>
    <t>IMPORTE</t>
  </si>
  <si>
    <t>DECUENTO</t>
  </si>
  <si>
    <t>C.P.</t>
  </si>
  <si>
    <t>SUBTOTAL</t>
  </si>
  <si>
    <t>DESCUENTO</t>
  </si>
  <si>
    <t>Domicilio Sucursal</t>
  </si>
  <si>
    <t>Monedas</t>
  </si>
  <si>
    <t>* Moneda</t>
  </si>
  <si>
    <t>* Tipo de Cambio</t>
  </si>
  <si>
    <t>* Abreviatura</t>
  </si>
  <si>
    <t>M.N.</t>
  </si>
  <si>
    <t>Moneda :</t>
  </si>
  <si>
    <t>E.U.</t>
  </si>
  <si>
    <t>PESOS</t>
  </si>
  <si>
    <t>EUROS</t>
  </si>
  <si>
    <t>ISH</t>
  </si>
  <si>
    <t>CHARGE CODE</t>
  </si>
  <si>
    <t>DESCRIPCIÓN</t>
  </si>
  <si>
    <t>Cliente :</t>
  </si>
  <si>
    <t>FACTURAR A: / INVOICE TO:</t>
  </si>
  <si>
    <t>FACTURA</t>
  </si>
  <si>
    <t>NOTA DE CRÉDITO</t>
  </si>
  <si>
    <t>NOTA DE CARGO</t>
  </si>
  <si>
    <t>INVOICE NUMBER</t>
  </si>
  <si>
    <t>FIRMA / SIGNATURE</t>
  </si>
  <si>
    <t>R.F.C.:</t>
  </si>
  <si>
    <t>* Pais</t>
  </si>
  <si>
    <t>Estado</t>
  </si>
  <si>
    <t>Municipio</t>
  </si>
  <si>
    <t>FECHA / DATE</t>
  </si>
  <si>
    <t>DÍA</t>
  </si>
  <si>
    <t>DAY</t>
  </si>
  <si>
    <t>MES</t>
  </si>
  <si>
    <t>MONTH</t>
  </si>
  <si>
    <t>AÑO</t>
  </si>
  <si>
    <t>YEAR</t>
  </si>
  <si>
    <t>UNIDAD DE MEDIDA</t>
  </si>
  <si>
    <t>(AMOUNT)</t>
  </si>
  <si>
    <t/>
  </si>
  <si>
    <t>DESCRIPTION</t>
  </si>
  <si>
    <t>Teléfonos :</t>
  </si>
  <si>
    <t>U.S.D.</t>
  </si>
  <si>
    <t>(CANTIDAD CON LETRA) (AMOUNT)</t>
  </si>
  <si>
    <t>México</t>
  </si>
  <si>
    <t>DOLLARS</t>
  </si>
  <si>
    <t>Distrito Federal</t>
  </si>
  <si>
    <t>XAXX010101000</t>
  </si>
  <si>
    <t>XEXX010101000</t>
  </si>
  <si>
    <t>01020</t>
  </si>
  <si>
    <t>PAGO EN UNA SOLA EXHIBICIÓN</t>
  </si>
  <si>
    <t>1</t>
  </si>
  <si>
    <t>0</t>
  </si>
  <si>
    <t>TIMBRADO</t>
  </si>
  <si>
    <t>Clave</t>
  </si>
  <si>
    <t>Titulo</t>
  </si>
  <si>
    <t>Comentario</t>
  </si>
  <si>
    <t>Excel</t>
  </si>
  <si>
    <t>Tipo Timbrado</t>
  </si>
  <si>
    <t>Pruebas</t>
  </si>
  <si>
    <t>Producción</t>
  </si>
  <si>
    <t>Folio fiscal:</t>
  </si>
  <si>
    <t>Fecha y hora de certificación:</t>
  </si>
  <si>
    <t>No. Serie de Certificado del SAT:</t>
  </si>
  <si>
    <t>Cadena original del complemento de certificación digital del SAT</t>
  </si>
  <si>
    <t>Sello digital del CFDi</t>
  </si>
  <si>
    <t>Este documento es una representación impresa de un CFDI</t>
  </si>
  <si>
    <t>Sello digital del SAT</t>
  </si>
  <si>
    <t>Repositorio Respaldo</t>
  </si>
  <si>
    <t>Miguel Angel de Quevedo</t>
  </si>
  <si>
    <t>1023</t>
  </si>
  <si>
    <t>102</t>
  </si>
  <si>
    <t>El Rosedal</t>
  </si>
  <si>
    <t>Coyoacán</t>
  </si>
  <si>
    <t>04330</t>
  </si>
  <si>
    <t>Regimen Fiscal</t>
  </si>
  <si>
    <t>Régimen de Consolidación</t>
  </si>
  <si>
    <t>TOTAL CARGOS</t>
  </si>
  <si>
    <t>TOTAL CHARGES</t>
  </si>
  <si>
    <t>AMOUNT</t>
  </si>
  <si>
    <t>MEASURING UNIT</t>
  </si>
  <si>
    <t>Metodo de Pago:</t>
  </si>
  <si>
    <t>No identificado</t>
  </si>
  <si>
    <t>Efectivo</t>
  </si>
  <si>
    <t>Transferencia electrónica</t>
  </si>
  <si>
    <t>Cheque nominativo</t>
  </si>
  <si>
    <t>Tarjeta de crédito</t>
  </si>
  <si>
    <t>Tarjeta de debito</t>
  </si>
  <si>
    <t>Lugar de Expedición:</t>
  </si>
  <si>
    <t>NOMBRE/NAME:</t>
  </si>
  <si>
    <t>CIUDAD/CITY:</t>
  </si>
  <si>
    <t>DIRECCIÓN/ADDRESS:</t>
  </si>
  <si>
    <t>Unidades de Medida :</t>
  </si>
  <si>
    <t>Servicio</t>
  </si>
  <si>
    <t>No aplica</t>
  </si>
  <si>
    <t>MXN</t>
  </si>
  <si>
    <t>USD</t>
  </si>
  <si>
    <t>EUR</t>
  </si>
  <si>
    <t>OTBC</t>
  </si>
  <si>
    <t xml:space="preserve">SERVICIOS ADMINISTRATIVOS </t>
  </si>
  <si>
    <t>RHT</t>
  </si>
  <si>
    <t>HCMC</t>
  </si>
  <si>
    <t>RE.</t>
  </si>
  <si>
    <t>TE</t>
  </si>
  <si>
    <t>LICENCIAS GOOGLE APPS PREMIER RENOVACION</t>
  </si>
  <si>
    <t>CCC</t>
  </si>
  <si>
    <t>ENVIOS INTERNACIONALES JUNIO 2011</t>
  </si>
  <si>
    <t>RI</t>
  </si>
  <si>
    <t>ARG</t>
  </si>
  <si>
    <t>BRA</t>
  </si>
  <si>
    <t>ACT</t>
  </si>
  <si>
    <t xml:space="preserve">VTA DE AUTO EN LAS CONDICIONES QUE SE ENCUENTRA </t>
  </si>
  <si>
    <t>OEPL</t>
  </si>
  <si>
    <t>NO. CHASIS WAUAF68E48018879</t>
  </si>
  <si>
    <t>NO. MOTOR BWE038193</t>
  </si>
  <si>
    <t>MAI</t>
  </si>
  <si>
    <t>ACP</t>
  </si>
  <si>
    <t>DODGE JOURNEY SE 2009</t>
  </si>
  <si>
    <t>R&amp;S</t>
  </si>
  <si>
    <t>INDEMNIZACION DE PERDIDA TOTAL POR DAÑOS DEL VEHICULO</t>
  </si>
  <si>
    <t>TRS</t>
  </si>
  <si>
    <t>TRANSMISION DE DERECHOS DE PROP DE AUTOMOVIL</t>
  </si>
  <si>
    <t>JGH</t>
  </si>
  <si>
    <t>EAG</t>
  </si>
  <si>
    <t>JMV</t>
  </si>
  <si>
    <t>AMS</t>
  </si>
  <si>
    <t>LRH</t>
  </si>
  <si>
    <t>SWI</t>
  </si>
  <si>
    <t>O1</t>
  </si>
  <si>
    <t xml:space="preserve">2                      STAND COCOASIS                                                                                  </t>
  </si>
  <si>
    <t>O2</t>
  </si>
  <si>
    <t xml:space="preserve">2                      STAND COCO BALL                                                                               </t>
  </si>
  <si>
    <t xml:space="preserve">1                      STAND ISLANET                                                                                    </t>
  </si>
  <si>
    <t>O4</t>
  </si>
  <si>
    <t xml:space="preserve">2                      STAND ISLANET MODULO INTERNET                                                    </t>
  </si>
  <si>
    <t>O5</t>
  </si>
  <si>
    <t xml:space="preserve">2                      STAND TOUR ADVISOR                                                                        </t>
  </si>
  <si>
    <t xml:space="preserve">1                      STAND CALAMAR GIGANTE                                                                 </t>
  </si>
  <si>
    <t xml:space="preserve">1                      STAND COCOASIS                                                                                  </t>
  </si>
  <si>
    <t xml:space="preserve">1                      STAND TOBACCO HOUSE                                                                     </t>
  </si>
  <si>
    <t xml:space="preserve">1                      STAND PHOTO SHARK                                                                          </t>
  </si>
  <si>
    <t xml:space="preserve">1                      STAND TIBURON GIGANTE                                                                  </t>
  </si>
  <si>
    <t>1                     MODULO THE GIANT SQUID</t>
  </si>
  <si>
    <t>CTA</t>
  </si>
  <si>
    <t>SERVICIOS ADMINISTRATIVOS DICEMBRE 2011</t>
  </si>
  <si>
    <t>VTAACT</t>
  </si>
  <si>
    <t xml:space="preserve">VTA DE MOTO EN LAS CONDICIONES QUE SE ENCUENTRA </t>
  </si>
  <si>
    <t>G</t>
  </si>
  <si>
    <t>a</t>
  </si>
  <si>
    <t>CONTENEDOR 2: TGHU-797238 [ 3 ]</t>
  </si>
  <si>
    <t>b</t>
  </si>
  <si>
    <t>CANDADO: M0009723</t>
  </si>
  <si>
    <t>c</t>
  </si>
  <si>
    <t xml:space="preserve">ESTA MERCANCIA DEBE SER ENTREGADA EN: </t>
  </si>
  <si>
    <t>d</t>
  </si>
  <si>
    <t>HOTEL GRAND PARADISE PLAYA DORADA</t>
  </si>
  <si>
    <t>e</t>
  </si>
  <si>
    <t>Grand Paradisus, Complejo Playa Dorada, carretera Puerto</t>
  </si>
  <si>
    <t>f</t>
  </si>
  <si>
    <t>Plata Sosua Republica Dominicana</t>
  </si>
  <si>
    <t>C1</t>
  </si>
  <si>
    <t>COUNTRYMAN E6 FLEX DRCT WRLS/REVO HD (7) (1)</t>
  </si>
  <si>
    <t>G1</t>
  </si>
  <si>
    <t>GATOR 2 SPACE RACK BAG</t>
  </si>
  <si>
    <t>S1</t>
  </si>
  <si>
    <t>SHURE UR1M MINI BODY PACK PARA SISTEMA INALAMBRICO</t>
  </si>
  <si>
    <t>S2</t>
  </si>
  <si>
    <t>SHURE UR4D RECEPTOR DOBLE PARA SISTEMA INALAMBRICO</t>
  </si>
  <si>
    <t>SH</t>
  </si>
  <si>
    <t>SHIPPING &amp; HANDLING</t>
  </si>
  <si>
    <t>ARGENTINA</t>
  </si>
  <si>
    <t>M</t>
  </si>
  <si>
    <t>Ropsa123@</t>
  </si>
  <si>
    <t>VALOR UNITARIO</t>
  </si>
  <si>
    <t>UNIT VALUE</t>
  </si>
  <si>
    <t>SERVICIOS ADMINISTRATIVOS MARZO 2012</t>
  </si>
  <si>
    <t>RE</t>
  </si>
  <si>
    <t>ENVIOS NACIONALES GASTOS OPERATIVOS FEBRERO 2012</t>
  </si>
  <si>
    <t>ENVIOS INTERNACIONALES FEBRERO 2012</t>
  </si>
  <si>
    <t>SERV ADM</t>
  </si>
  <si>
    <t>SERVICIOS ADMINISTRATIVOS DIC 2011</t>
  </si>
  <si>
    <t>ING</t>
  </si>
  <si>
    <t>DANIEL RAMIREZ RAMIREZ</t>
  </si>
  <si>
    <t>R.H.S. ARGENTINA S.A. CUIT( FISCAL) 30-70799202-2</t>
  </si>
  <si>
    <t>MANUELA SAENZ</t>
  </si>
  <si>
    <t>323</t>
  </si>
  <si>
    <t>6 PISO</t>
  </si>
  <si>
    <t>OFICINA 13</t>
  </si>
  <si>
    <t>CAPITAL FEDERAL</t>
  </si>
  <si>
    <t>(C1107BPA)</t>
  </si>
  <si>
    <t>C:\FacturasElectronicas\Factura Electronica\CORPORATIVO\Royal Holiday Latam</t>
  </si>
  <si>
    <t>Insurgentes Sur</t>
  </si>
  <si>
    <t>1999</t>
  </si>
  <si>
    <t>Piso 2</t>
  </si>
  <si>
    <t>Guadalupe Inn</t>
  </si>
  <si>
    <t>Álvaro Obregón</t>
  </si>
  <si>
    <t>Z:\Royal Holiday Latam</t>
  </si>
  <si>
    <t>IVA 16%</t>
  </si>
  <si>
    <t>C:\FacturasElectronicas\Usuarios\Corporativo\Sellos digitales\Royal Holiday Latam\rhl9001054b8_1204031208s.key</t>
  </si>
  <si>
    <t>ROYALLATAM45</t>
  </si>
  <si>
    <t>C:\FacturasElectronicas\Usuarios\Corporativo\Sellos digitales\Royal Holiday Latam\00001000000200712883.cer</t>
  </si>
  <si>
    <t>00001000000200712883</t>
  </si>
  <si>
    <t>RHL9001054B8</t>
  </si>
  <si>
    <t>ROYAL HOLIDAY LATAM SA DE CV</t>
  </si>
  <si>
    <t>I</t>
  </si>
  <si>
    <t>ACCIONES DEL CLUB  ENERO 2013</t>
  </si>
  <si>
    <t xml:space="preserve">AV. LIBERTADOR </t>
  </si>
  <si>
    <t>2740</t>
  </si>
  <si>
    <t>1ER PISO</t>
  </si>
  <si>
    <t>RH SUDAMERICA S.A . CUIT (FISCAL) 30-71186299-0</t>
  </si>
  <si>
    <t>OLIVOS</t>
  </si>
  <si>
    <t>DEV</t>
  </si>
  <si>
    <t>DEV1</t>
  </si>
  <si>
    <t>DEV2</t>
  </si>
  <si>
    <t>INGRESO POR VENTA DE ACCIONES  NOVIEMBRE 2013</t>
  </si>
  <si>
    <t>DEVOLUCION POR VENTA DE ACCIONES 2014</t>
  </si>
  <si>
    <t>DEV3</t>
  </si>
  <si>
    <t>DEV4</t>
  </si>
  <si>
    <t>DEV5</t>
  </si>
  <si>
    <t>CTO. 121-64261</t>
  </si>
  <si>
    <t>CTO. 121-64331</t>
  </si>
  <si>
    <t>CTO. 121-64391</t>
  </si>
  <si>
    <t>CTO. 58-60695</t>
  </si>
  <si>
    <t>CTO. 58-60724</t>
  </si>
  <si>
    <t>HCM031218K43</t>
  </si>
  <si>
    <t>HOLIDAY CLUB MANAGEMENT COMPANY DE MEXICO, S.A DE C.V</t>
  </si>
  <si>
    <t xml:space="preserve">INSURGENTES SUR </t>
  </si>
  <si>
    <t xml:space="preserve">1999 </t>
  </si>
  <si>
    <t xml:space="preserve">2 PISO </t>
  </si>
  <si>
    <t xml:space="preserve">GUADALUPE INN </t>
  </si>
  <si>
    <t xml:space="preserve">ALVARO OBREGON </t>
  </si>
  <si>
    <t>MEXICO</t>
  </si>
  <si>
    <t>DISTRITO FEDERAL</t>
  </si>
</sst>
</file>

<file path=xl/styles.xml><?xml version="1.0" encoding="utf-8"?>
<styleSheet xmlns="http://schemas.openxmlformats.org/spreadsheetml/2006/main">
  <numFmts count="28">
    <numFmt numFmtId="164" formatCode="_(* #,##0.00_);_(* \(#,##0.00\);_(* &quot;-&quot;??_);_(@_)"/>
    <numFmt numFmtId="165" formatCode="_(* #,##0_);_(* \(#,##0\);_(* &quot;-&quot;??_);_(@_)"/>
    <numFmt numFmtId="166" formatCode="[$-F800]dddd\,\ mmmm\ dd\,\ yyyy"/>
    <numFmt numFmtId="167" formatCode="dd"/>
    <numFmt numFmtId="168" formatCode="mm"/>
    <numFmt numFmtId="169" formatCode="yyyy"/>
    <numFmt numFmtId="170" formatCode="_(&quot;$&quot;* #,##0.00_);_(&quot;$&quot;* \(#,##0.00\);_(&quot;$&quot;* &quot;-&quot;??_);_(@_)"/>
    <numFmt numFmtId="171" formatCode="0.00;[Red]0.00"/>
    <numFmt numFmtId="172" formatCode="General_)"/>
    <numFmt numFmtId="173" formatCode="_-[$€-2]* #,##0.00_-;\-[$€-2]* #,##0.00_-;_-[$€-2]* &quot;-&quot;??_-"/>
    <numFmt numFmtId="174" formatCode="0\ %"/>
    <numFmt numFmtId="175" formatCode="_(* #,###.0_);_(* \(#,###.0\);_(* .0_);_(@_)"/>
    <numFmt numFmtId="176" formatCode="_(* #,###.0,_);_(* \(#,###.0,\);_(* .0,_);_(@_)"/>
    <numFmt numFmtId="177" formatCode="_(* #,##0_);_(* \(#,##0\);_(* 0_);_(@_)"/>
    <numFmt numFmtId="178" formatCode="_(* #,##0,_);_(* \(#,##0,\);_(* 0,_);_(@_)"/>
    <numFmt numFmtId="179" formatCode="#,##0_);[Red]\(&quot;$&quot;#,##0\)"/>
    <numFmt numFmtId="180" formatCode="_(&quot;$&quot;* #,###.0_);_(&quot;$&quot;* \(#,###.0\);_(&quot;$&quot;* .0_);_(@_)"/>
    <numFmt numFmtId="181" formatCode="_(&quot;$&quot;* #,###.00_);_(&quot;$&quot;* \(#,###.00\);_(&quot;$&quot;* .00_);_(@_)"/>
    <numFmt numFmtId="182" formatCode="_(&quot;$&quot;* #,###.0,_);_(&quot;$&quot;* \(#,###.0,\);_(&quot;$&quot;* .0,_);_(@_)"/>
    <numFmt numFmtId="183" formatCode="_(&quot;$&quot;* #,##0,_);_(&quot;$&quot;* \(#,##0,\);_(&quot;$&quot;* 0,_);_(@_)"/>
    <numFmt numFmtId="184" formatCode="#."/>
    <numFmt numFmtId="185" formatCode="&quot;£&quot;#,##0;[Red]\-&quot;£&quot;#,##0"/>
    <numFmt numFmtId="186" formatCode="&quot;£&quot;#,##0.00;[Red]\-&quot;£&quot;#,##0.00"/>
    <numFmt numFmtId="187" formatCode="&quot;\&quot;#,##0.00;\-&quot;\&quot;#,##0.00"/>
    <numFmt numFmtId="188" formatCode="0%_);\(0%\)"/>
    <numFmt numFmtId="189" formatCode="_(* #.0_)%;_(* \(#.0\)%;_(* .0_)%"/>
    <numFmt numFmtId="190" formatCode="&quot;\&quot;#,##0.00;[Red]\-&quot;\&quot;#,##0.00"/>
    <numFmt numFmtId="191" formatCode="#,###,;\(#,###,\)"/>
  </numFmts>
  <fonts count="7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2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0"/>
      <name val="Arial"/>
      <family val="2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6"/>
      <name val="Arial"/>
      <family val="2"/>
    </font>
    <font>
      <sz val="11"/>
      <name val="Arial"/>
      <family val="2"/>
    </font>
    <font>
      <sz val="11"/>
      <color theme="0"/>
      <name val="Arial"/>
      <family val="2"/>
    </font>
    <font>
      <b/>
      <sz val="16"/>
      <color theme="1"/>
      <name val="Arial"/>
      <family val="2"/>
    </font>
    <font>
      <b/>
      <sz val="10"/>
      <color theme="1"/>
      <name val="Arial"/>
      <family val="2"/>
    </font>
    <font>
      <sz val="7"/>
      <name val="Arial"/>
      <family val="2"/>
    </font>
    <font>
      <sz val="7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7.5"/>
      <color theme="1"/>
      <name val="Arial"/>
      <family val="2"/>
    </font>
    <font>
      <sz val="8"/>
      <color theme="1"/>
      <name val="Arial"/>
      <family val="2"/>
    </font>
    <font>
      <b/>
      <sz val="8"/>
      <color theme="3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sz val="6.75"/>
      <color theme="1"/>
      <name val="Calibri"/>
      <family val="2"/>
      <scheme val="minor"/>
    </font>
    <font>
      <b/>
      <sz val="8"/>
      <color rgb="FF0070C0"/>
      <name val="Arial"/>
      <family val="2"/>
    </font>
    <font>
      <sz val="8"/>
      <name val="Arial"/>
      <family val="2"/>
    </font>
    <font>
      <sz val="10"/>
      <color indexed="64"/>
      <name val="Arial"/>
      <family val="2"/>
    </font>
    <font>
      <b/>
      <sz val="10"/>
      <color indexed="64"/>
      <name val="Arial"/>
      <family val="2"/>
    </font>
    <font>
      <sz val="11"/>
      <color indexed="8"/>
      <name val="Calibri"/>
      <family val="2"/>
    </font>
    <font>
      <sz val="9"/>
      <name val="Times New Roman"/>
      <family val="1"/>
    </font>
    <font>
      <sz val="10"/>
      <name val="MS Sans Serif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62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sz val="11"/>
      <color indexed="9"/>
      <name val="Calibri"/>
      <family val="2"/>
    </font>
    <font>
      <u/>
      <sz val="10"/>
      <color indexed="12"/>
      <name val="Arial"/>
      <family val="2"/>
    </font>
    <font>
      <b/>
      <sz val="10"/>
      <color indexed="10"/>
      <name val="Arial"/>
      <family val="2"/>
    </font>
    <font>
      <sz val="9"/>
      <name val="Arial"/>
      <family val="2"/>
    </font>
    <font>
      <sz val="10"/>
      <name val="Century Schoolbook"/>
      <family val="1"/>
    </font>
    <font>
      <sz val="1"/>
      <color indexed="16"/>
      <name val="Courier"/>
      <family val="3"/>
    </font>
    <font>
      <sz val="10"/>
      <color indexed="8"/>
      <name val="Arial"/>
      <family val="2"/>
    </font>
    <font>
      <b/>
      <sz val="12"/>
      <name val="Arial"/>
      <family val="2"/>
    </font>
    <font>
      <b/>
      <sz val="1"/>
      <color indexed="16"/>
      <name val="Courier"/>
      <family val="3"/>
    </font>
    <font>
      <sz val="12"/>
      <name val="Arial"/>
      <family val="2"/>
    </font>
    <font>
      <sz val="12"/>
      <name val="Helv"/>
    </font>
    <font>
      <sz val="10"/>
      <name val="Verdana"/>
      <family val="2"/>
    </font>
    <font>
      <b/>
      <sz val="10"/>
      <color indexed="8"/>
      <name val="Arial Narrow"/>
      <family val="2"/>
    </font>
    <font>
      <sz val="9"/>
      <color indexed="8"/>
      <name val="Times New Roman"/>
      <family val="1"/>
    </font>
    <font>
      <u/>
      <sz val="8"/>
      <color theme="10"/>
      <name val="Arial"/>
      <family val="2"/>
    </font>
    <font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60"/>
      <name val="Calibri"/>
      <family val="2"/>
    </font>
    <font>
      <b/>
      <sz val="11"/>
      <color indexed="8"/>
      <name val="Calibri"/>
      <family val="2"/>
    </font>
    <font>
      <u/>
      <sz val="10"/>
      <color rgb="FF000000"/>
      <name val="Arial"/>
      <family val="2"/>
    </font>
    <font>
      <u/>
      <sz val="11"/>
      <color theme="1"/>
      <name val="Calibri"/>
      <family val="2"/>
      <scheme val="minor"/>
    </font>
    <font>
      <sz val="11"/>
      <color rgb="FF1F497D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7"/>
        <bgColor indexed="64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rgb="FFFFFF00"/>
        <bgColor indexed="64"/>
      </patternFill>
    </fill>
  </fills>
  <borders count="39">
    <border>
      <left/>
      <right/>
      <top/>
      <bottom/>
      <diagonal/>
    </border>
    <border>
      <left style="medium">
        <color theme="2" tint="-0.24994659260841701"/>
      </left>
      <right style="medium">
        <color theme="2" tint="-0.24994659260841701"/>
      </right>
      <top style="medium">
        <color theme="2" tint="-0.24994659260841701"/>
      </top>
      <bottom style="medium">
        <color theme="2" tint="-0.24994659260841701"/>
      </bottom>
      <diagonal/>
    </border>
    <border>
      <left style="thick">
        <color theme="2" tint="-0.24994659260841701"/>
      </left>
      <right style="thick">
        <color theme="2" tint="-0.24994659260841701"/>
      </right>
      <top style="thick">
        <color theme="2" tint="-0.24994659260841701"/>
      </top>
      <bottom style="thick">
        <color theme="2" tint="-0.24994659260841701"/>
      </bottom>
      <diagonal/>
    </border>
    <border>
      <left/>
      <right style="medium">
        <color theme="2" tint="-0.24994659260841701"/>
      </right>
      <top style="medium">
        <color theme="2" tint="-0.24994659260841701"/>
      </top>
      <bottom style="medium">
        <color theme="2" tint="-0.24994659260841701"/>
      </bottom>
      <diagonal/>
    </border>
    <border>
      <left style="medium">
        <color theme="2" tint="-0.24994659260841701"/>
      </left>
      <right/>
      <top style="medium">
        <color theme="2" tint="-0.24994659260841701"/>
      </top>
      <bottom style="medium">
        <color theme="2" tint="-0.24994659260841701"/>
      </bottom>
      <diagonal/>
    </border>
    <border>
      <left/>
      <right/>
      <top style="medium">
        <color theme="2" tint="-0.24994659260841701"/>
      </top>
      <bottom style="medium">
        <color theme="2" tint="-0.24994659260841701"/>
      </bottom>
      <diagonal/>
    </border>
    <border>
      <left style="medium">
        <color theme="2" tint="-0.2499465926084170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theme="2" tint="-0.2499465926084170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530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164" fontId="1" fillId="0" borderId="0" applyFont="0" applyFill="0" applyBorder="0" applyAlignment="0" applyProtection="0"/>
    <xf numFmtId="0" fontId="1" fillId="0" borderId="0"/>
    <xf numFmtId="170" fontId="1" fillId="0" borderId="0" applyFont="0" applyFill="0" applyBorder="0" applyAlignment="0" applyProtection="0"/>
    <xf numFmtId="0" fontId="34" fillId="0" borderId="0"/>
    <xf numFmtId="164" fontId="35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72" fontId="20" fillId="0" borderId="0"/>
    <xf numFmtId="172" fontId="20" fillId="0" borderId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13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6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2" borderId="0" applyNumberFormat="0" applyBorder="0" applyAlignment="0" applyProtection="0"/>
    <xf numFmtId="0" fontId="52" fillId="13" borderId="0" applyNumberFormat="0" applyBorder="0" applyAlignment="0" applyProtection="0"/>
    <xf numFmtId="0" fontId="52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8" borderId="0" applyNumberFormat="0" applyBorder="0" applyAlignment="0" applyProtection="0"/>
    <xf numFmtId="175" fontId="33" fillId="0" borderId="0" applyFont="0" applyFill="0" applyBorder="0" applyAlignment="0" applyProtection="0">
      <alignment horizontal="left"/>
    </xf>
    <xf numFmtId="176" fontId="33" fillId="0" borderId="0" applyFont="0" applyFill="0" applyBorder="0" applyAlignment="0" applyProtection="0"/>
    <xf numFmtId="177" fontId="33" fillId="0" borderId="0" applyFont="0" applyFill="0" applyBorder="0" applyAlignment="0" applyProtection="0">
      <alignment horizontal="left"/>
    </xf>
    <xf numFmtId="178" fontId="33" fillId="0" borderId="0" applyFont="0" applyFill="0" applyBorder="0" applyAlignment="0" applyProtection="0"/>
    <xf numFmtId="0" fontId="43" fillId="7" borderId="0" applyNumberFormat="0" applyBorder="0" applyAlignment="0" applyProtection="0"/>
    <xf numFmtId="0" fontId="55" fillId="0" borderId="0" applyFill="0" applyBorder="0" applyAlignment="0"/>
    <xf numFmtId="0" fontId="55" fillId="0" borderId="0" applyFill="0" applyBorder="0" applyAlignment="0"/>
    <xf numFmtId="0" fontId="38" fillId="0" borderId="0" applyFill="0" applyBorder="0" applyAlignment="0"/>
    <xf numFmtId="0" fontId="38" fillId="0" borderId="0" applyFill="0" applyBorder="0" applyAlignment="0"/>
    <xf numFmtId="0" fontId="38" fillId="0" borderId="0" applyFill="0" applyBorder="0" applyAlignment="0"/>
    <xf numFmtId="0" fontId="55" fillId="0" borderId="0" applyFill="0" applyBorder="0" applyAlignment="0"/>
    <xf numFmtId="0" fontId="55" fillId="0" borderId="0" applyFill="0" applyBorder="0" applyAlignment="0"/>
    <xf numFmtId="0" fontId="55" fillId="0" borderId="0" applyFill="0" applyBorder="0" applyAlignment="0"/>
    <xf numFmtId="0" fontId="47" fillId="19" borderId="21" applyNumberFormat="0" applyAlignment="0" applyProtection="0"/>
    <xf numFmtId="0" fontId="49" fillId="20" borderId="22" applyNumberFormat="0" applyAlignment="0" applyProtection="0"/>
    <xf numFmtId="0" fontId="48" fillId="0" borderId="23" applyNumberFormat="0" applyFill="0" applyAlignment="0" applyProtection="0"/>
    <xf numFmtId="179" fontId="56" fillId="0" borderId="0"/>
    <xf numFmtId="179" fontId="56" fillId="0" borderId="0"/>
    <xf numFmtId="179" fontId="56" fillId="0" borderId="0"/>
    <xf numFmtId="179" fontId="56" fillId="0" borderId="0"/>
    <xf numFmtId="179" fontId="56" fillId="0" borderId="0"/>
    <xf numFmtId="179" fontId="56" fillId="0" borderId="0"/>
    <xf numFmtId="179" fontId="56" fillId="0" borderId="0"/>
    <xf numFmtId="179" fontId="56" fillId="0" borderId="0"/>
    <xf numFmtId="0" fontId="55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20" fillId="0" borderId="0" applyFont="0" applyFill="0" applyBorder="0" applyAlignment="0" applyProtection="0"/>
    <xf numFmtId="180" fontId="33" fillId="0" borderId="0" applyFont="0" applyFill="0" applyBorder="0" applyAlignment="0" applyProtection="0">
      <alignment horizontal="left"/>
    </xf>
    <xf numFmtId="181" fontId="33" fillId="0" borderId="0" applyFont="0" applyFill="0" applyBorder="0" applyAlignment="0" applyProtection="0">
      <alignment horizontal="left"/>
    </xf>
    <xf numFmtId="182" fontId="33" fillId="0" borderId="0" applyFont="0" applyFill="0" applyBorder="0" applyAlignment="0" applyProtection="0"/>
    <xf numFmtId="0" fontId="55" fillId="0" borderId="0" applyFont="0" applyFill="0" applyBorder="0" applyAlignment="0" applyProtection="0"/>
    <xf numFmtId="183" fontId="33" fillId="0" borderId="0" applyFont="0" applyFill="0" applyBorder="0" applyAlignment="0" applyProtection="0"/>
    <xf numFmtId="184" fontId="57" fillId="0" borderId="0">
      <protection locked="0"/>
    </xf>
    <xf numFmtId="14" fontId="58" fillId="0" borderId="0" applyFill="0" applyBorder="0" applyAlignment="0"/>
    <xf numFmtId="4" fontId="20" fillId="0" borderId="0"/>
    <xf numFmtId="38" fontId="38" fillId="0" borderId="24">
      <alignment vertical="center"/>
    </xf>
    <xf numFmtId="0" fontId="42" fillId="0" borderId="0" applyNumberFormat="0" applyFill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24" borderId="0" applyNumberFormat="0" applyBorder="0" applyAlignment="0" applyProtection="0"/>
    <xf numFmtId="0" fontId="55" fillId="0" borderId="0" applyFill="0" applyBorder="0" applyAlignment="0"/>
    <xf numFmtId="0" fontId="55" fillId="0" borderId="0" applyFill="0" applyBorder="0" applyAlignment="0"/>
    <xf numFmtId="0" fontId="55" fillId="0" borderId="0" applyFill="0" applyBorder="0" applyAlignment="0"/>
    <xf numFmtId="0" fontId="55" fillId="0" borderId="0" applyFill="0" applyBorder="0" applyAlignment="0"/>
    <xf numFmtId="0" fontId="55" fillId="0" borderId="0" applyFill="0" applyBorder="0" applyAlignment="0"/>
    <xf numFmtId="0" fontId="45" fillId="10" borderId="21" applyNumberFormat="0" applyAlignment="0" applyProtection="0"/>
    <xf numFmtId="0" fontId="20" fillId="0" borderId="0"/>
    <xf numFmtId="173" fontId="20" fillId="0" borderId="0" applyFont="0" applyFill="0" applyBorder="0" applyAlignment="0" applyProtection="0"/>
    <xf numFmtId="184" fontId="57" fillId="0" borderId="0">
      <protection locked="0"/>
    </xf>
    <xf numFmtId="0" fontId="37" fillId="0" borderId="0"/>
    <xf numFmtId="0" fontId="59" fillId="0" borderId="25" applyNumberFormat="0" applyAlignment="0" applyProtection="0">
      <alignment horizontal="left" vertical="center"/>
    </xf>
    <xf numFmtId="0" fontId="59" fillId="0" borderId="10">
      <alignment horizontal="left" vertical="center"/>
    </xf>
    <xf numFmtId="14" fontId="21" fillId="25" borderId="15">
      <alignment horizontal="center" vertical="center" wrapText="1"/>
    </xf>
    <xf numFmtId="184" fontId="60" fillId="0" borderId="0">
      <protection locked="0"/>
    </xf>
    <xf numFmtId="184" fontId="60" fillId="0" borderId="0">
      <protection locked="0"/>
    </xf>
    <xf numFmtId="0" fontId="66" fillId="0" borderId="0" applyNumberFormat="0" applyFill="0" applyBorder="0" applyAlignment="0" applyProtection="0">
      <alignment vertical="top"/>
      <protection locked="0"/>
    </xf>
    <xf numFmtId="0" fontId="3" fillId="0" borderId="0" applyNumberFormat="0" applyFill="0" applyBorder="0" applyAlignment="0" applyProtection="0">
      <alignment vertical="top"/>
      <protection locked="0"/>
    </xf>
    <xf numFmtId="0" fontId="53" fillId="0" borderId="0" applyNumberFormat="0" applyFill="0" applyBorder="0" applyAlignment="0" applyProtection="0">
      <alignment vertical="top"/>
      <protection locked="0"/>
    </xf>
    <xf numFmtId="0" fontId="44" fillId="6" borderId="0" applyNumberFormat="0" applyBorder="0" applyAlignment="0" applyProtection="0"/>
    <xf numFmtId="0" fontId="55" fillId="0" borderId="0" applyFill="0" applyBorder="0" applyAlignment="0"/>
    <xf numFmtId="0" fontId="55" fillId="0" borderId="0" applyFill="0" applyBorder="0" applyAlignment="0"/>
    <xf numFmtId="0" fontId="55" fillId="0" borderId="0" applyFill="0" applyBorder="0" applyAlignment="0"/>
    <xf numFmtId="0" fontId="55" fillId="0" borderId="0" applyFill="0" applyBorder="0" applyAlignment="0"/>
    <xf numFmtId="0" fontId="55" fillId="0" borderId="0" applyFill="0" applyBorder="0" applyAlignment="0"/>
    <xf numFmtId="164" fontId="20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1" fillId="0" borderId="0" applyFont="0" applyFill="0" applyBorder="0" applyAlignment="0" applyProtection="0"/>
    <xf numFmtId="185" fontId="38" fillId="0" borderId="0" applyFont="0" applyFill="0" applyBorder="0" applyAlignment="0" applyProtection="0"/>
    <xf numFmtId="186" fontId="38" fillId="0" borderId="0" applyFont="0" applyFill="0" applyBorder="0" applyAlignment="0" applyProtection="0"/>
    <xf numFmtId="170" fontId="20" fillId="0" borderId="0" applyFont="0" applyFill="0" applyBorder="0" applyAlignment="0" applyProtection="0"/>
    <xf numFmtId="0" fontId="61" fillId="26" borderId="0"/>
    <xf numFmtId="187" fontId="56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20" fillId="0" borderId="0"/>
    <xf numFmtId="0" fontId="1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20" fillId="0" borderId="0"/>
    <xf numFmtId="0" fontId="20" fillId="0" borderId="0"/>
    <xf numFmtId="0" fontId="36" fillId="0" borderId="0"/>
    <xf numFmtId="0" fontId="1" fillId="0" borderId="0"/>
    <xf numFmtId="0" fontId="1" fillId="0" borderId="0"/>
    <xf numFmtId="0" fontId="20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20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20" fillId="0" borderId="0"/>
    <xf numFmtId="0" fontId="20" fillId="0" borderId="0"/>
    <xf numFmtId="0" fontId="20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20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20" fillId="0" borderId="0"/>
    <xf numFmtId="0" fontId="1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20" fillId="0" borderId="0"/>
    <xf numFmtId="0" fontId="20" fillId="0" borderId="0"/>
    <xf numFmtId="0" fontId="20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20" fillId="0" borderId="0"/>
    <xf numFmtId="0" fontId="20" fillId="0" borderId="0"/>
    <xf numFmtId="0" fontId="20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20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20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20" fillId="0" borderId="0"/>
    <xf numFmtId="0" fontId="1" fillId="0" borderId="0"/>
    <xf numFmtId="0" fontId="20" fillId="0" borderId="0"/>
    <xf numFmtId="0" fontId="36" fillId="27" borderId="26" applyNumberFormat="0" applyFont="0" applyAlignment="0" applyProtection="0"/>
    <xf numFmtId="188" fontId="20" fillId="0" borderId="0" applyFont="0" applyFill="0" applyBorder="0" applyAlignment="0" applyProtection="0"/>
    <xf numFmtId="189" fontId="33" fillId="0" borderId="0" applyFont="0" applyFill="0" applyBorder="0" applyAlignment="0" applyProtection="0">
      <alignment horizontal="left"/>
    </xf>
    <xf numFmtId="0" fontId="38" fillId="0" borderId="0" applyFont="0" applyFill="0" applyBorder="0" applyAlignment="0" applyProtection="0"/>
    <xf numFmtId="190" fontId="37" fillId="0" borderId="0" applyFont="0" applyFill="0" applyBorder="0" applyAlignment="0" applyProtection="0"/>
    <xf numFmtId="174" fontId="38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55" fillId="0" borderId="0" applyFill="0" applyBorder="0" applyAlignment="0"/>
    <xf numFmtId="0" fontId="55" fillId="0" borderId="0" applyFill="0" applyBorder="0" applyAlignment="0"/>
    <xf numFmtId="0" fontId="55" fillId="0" borderId="0" applyFill="0" applyBorder="0" applyAlignment="0"/>
    <xf numFmtId="0" fontId="55" fillId="0" borderId="0" applyFill="0" applyBorder="0" applyAlignment="0"/>
    <xf numFmtId="0" fontId="55" fillId="0" borderId="0" applyFill="0" applyBorder="0" applyAlignment="0"/>
    <xf numFmtId="0" fontId="64" fillId="28" borderId="0"/>
    <xf numFmtId="0" fontId="46" fillId="19" borderId="27" applyNumberFormat="0" applyAlignment="0" applyProtection="0"/>
    <xf numFmtId="38" fontId="38" fillId="0" borderId="0" applyFont="0" applyFill="0" applyBorder="0" applyAlignment="0" applyProtection="0"/>
    <xf numFmtId="40" fontId="38" fillId="0" borderId="0" applyFont="0" applyFill="0" applyBorder="0" applyAlignment="0" applyProtection="0"/>
    <xf numFmtId="191" fontId="65" fillId="0" borderId="0" applyFont="0" applyFill="0" applyBorder="0" applyAlignment="0" applyProtection="0"/>
    <xf numFmtId="38" fontId="20" fillId="0" borderId="0"/>
    <xf numFmtId="0" fontId="20" fillId="0" borderId="0" applyNumberFormat="0" applyFill="0" applyBorder="0" applyAlignment="0" applyProtection="0"/>
    <xf numFmtId="49" fontId="58" fillId="0" borderId="0" applyFill="0" applyBorder="0" applyAlignment="0"/>
    <xf numFmtId="0" fontId="55" fillId="0" borderId="0" applyFill="0" applyBorder="0" applyAlignment="0"/>
    <xf numFmtId="0" fontId="38" fillId="0" borderId="0" applyFill="0" applyBorder="0" applyAlignment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4" fillId="0" borderId="0" applyFill="0" applyBorder="0" applyProtection="0">
      <alignment horizontal="left" vertical="top"/>
    </xf>
    <xf numFmtId="0" fontId="40" fillId="0" borderId="28" applyNumberFormat="0" applyFill="0" applyAlignment="0" applyProtection="0"/>
    <xf numFmtId="0" fontId="41" fillId="0" borderId="29" applyNumberFormat="0" applyFill="0" applyAlignment="0" applyProtection="0"/>
    <xf numFmtId="0" fontId="42" fillId="0" borderId="30" applyNumberFormat="0" applyFill="0" applyAlignment="0" applyProtection="0"/>
    <xf numFmtId="0" fontId="39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0" fontId="34" fillId="0" borderId="0"/>
    <xf numFmtId="164" fontId="35" fillId="0" borderId="0" applyFont="0" applyFill="0" applyBorder="0" applyAlignment="0" applyProtection="0"/>
    <xf numFmtId="0" fontId="34" fillId="0" borderId="0"/>
    <xf numFmtId="164" fontId="35" fillId="0" borderId="0" applyFont="0" applyFill="0" applyBorder="0" applyAlignment="0" applyProtection="0"/>
    <xf numFmtId="164" fontId="35" fillId="0" borderId="0" applyFont="0" applyFill="0" applyBorder="0" applyAlignment="0" applyProtection="0"/>
    <xf numFmtId="0" fontId="34" fillId="0" borderId="0"/>
    <xf numFmtId="0" fontId="34" fillId="0" borderId="0"/>
    <xf numFmtId="164" fontId="35" fillId="0" borderId="0" applyFont="0" applyFill="0" applyBorder="0" applyAlignment="0" applyProtection="0"/>
    <xf numFmtId="0" fontId="34" fillId="0" borderId="0"/>
    <xf numFmtId="164" fontId="35" fillId="0" borderId="0" applyFont="0" applyFill="0" applyBorder="0" applyAlignment="0" applyProtection="0"/>
    <xf numFmtId="164" fontId="35" fillId="0" borderId="0" applyFont="0" applyFill="0" applyBorder="0" applyAlignment="0" applyProtection="0"/>
    <xf numFmtId="0" fontId="34" fillId="0" borderId="0"/>
    <xf numFmtId="0" fontId="34" fillId="0" borderId="0"/>
    <xf numFmtId="164" fontId="35" fillId="0" borderId="0" applyFont="0" applyFill="0" applyBorder="0" applyAlignment="0" applyProtection="0"/>
    <xf numFmtId="164" fontId="35" fillId="0" borderId="0" applyFont="0" applyFill="0" applyBorder="0" applyAlignment="0" applyProtection="0"/>
    <xf numFmtId="0" fontId="34" fillId="0" borderId="0"/>
    <xf numFmtId="164" fontId="35" fillId="0" borderId="0" applyFont="0" applyFill="0" applyBorder="0" applyAlignment="0" applyProtection="0"/>
    <xf numFmtId="0" fontId="34" fillId="0" borderId="0"/>
    <xf numFmtId="0" fontId="34" fillId="0" borderId="0"/>
    <xf numFmtId="164" fontId="35" fillId="0" borderId="0" applyFont="0" applyFill="0" applyBorder="0" applyAlignment="0" applyProtection="0"/>
    <xf numFmtId="0" fontId="34" fillId="0" borderId="0"/>
    <xf numFmtId="164" fontId="35" fillId="0" borderId="0" applyFont="0" applyFill="0" applyBorder="0" applyAlignment="0" applyProtection="0"/>
    <xf numFmtId="164" fontId="35" fillId="0" borderId="0" applyFont="0" applyFill="0" applyBorder="0" applyAlignment="0" applyProtection="0"/>
    <xf numFmtId="0" fontId="34" fillId="0" borderId="0"/>
    <xf numFmtId="0" fontId="34" fillId="0" borderId="0"/>
    <xf numFmtId="164" fontId="35" fillId="0" borderId="0" applyFont="0" applyFill="0" applyBorder="0" applyAlignment="0" applyProtection="0"/>
    <xf numFmtId="0" fontId="34" fillId="0" borderId="0"/>
    <xf numFmtId="164" fontId="35" fillId="0" borderId="0" applyFont="0" applyFill="0" applyBorder="0" applyAlignment="0" applyProtection="0"/>
    <xf numFmtId="164" fontId="35" fillId="0" borderId="0" applyFont="0" applyFill="0" applyBorder="0" applyAlignment="0" applyProtection="0"/>
    <xf numFmtId="0" fontId="34" fillId="0" borderId="0"/>
    <xf numFmtId="170" fontId="1" fillId="0" borderId="0" applyFont="0" applyFill="0" applyBorder="0" applyAlignment="0" applyProtection="0"/>
    <xf numFmtId="0" fontId="20" fillId="0" borderId="0"/>
    <xf numFmtId="0" fontId="2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3" fillId="0" borderId="0" applyNumberFormat="0" applyFill="0" applyBorder="0" applyAlignment="0" applyProtection="0">
      <alignment vertical="top"/>
      <protection locked="0"/>
    </xf>
    <xf numFmtId="0" fontId="3" fillId="0" borderId="0" applyNumberFormat="0" applyFill="0" applyBorder="0" applyAlignment="0" applyProtection="0">
      <alignment vertical="top"/>
      <protection locked="0"/>
    </xf>
    <xf numFmtId="0" fontId="3" fillId="0" borderId="0" applyNumberFormat="0" applyFill="0" applyBorder="0" applyAlignment="0" applyProtection="0">
      <alignment vertical="top"/>
      <protection locked="0"/>
    </xf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0" fontId="20" fillId="27" borderId="26" applyNumberFormat="0" applyFont="0" applyAlignment="0" applyProtection="0"/>
    <xf numFmtId="164" fontId="1" fillId="0" borderId="0" applyFont="0" applyFill="0" applyBorder="0" applyAlignment="0" applyProtection="0"/>
    <xf numFmtId="0" fontId="20" fillId="0" borderId="0"/>
    <xf numFmtId="0" fontId="20" fillId="0" borderId="0"/>
    <xf numFmtId="0" fontId="20" fillId="27" borderId="26" applyNumberFormat="0" applyFont="0" applyAlignment="0" applyProtection="0"/>
    <xf numFmtId="0" fontId="20" fillId="0" borderId="0"/>
    <xf numFmtId="0" fontId="20" fillId="0" borderId="0"/>
    <xf numFmtId="0" fontId="69" fillId="29" borderId="0" applyNumberFormat="0" applyBorder="0" applyAlignment="0" applyProtection="0"/>
    <xf numFmtId="0" fontId="20" fillId="0" borderId="0"/>
    <xf numFmtId="0" fontId="20" fillId="27" borderId="26" applyNumberFormat="0" applyFont="0" applyAlignment="0" applyProtection="0"/>
    <xf numFmtId="0" fontId="20" fillId="0" borderId="0"/>
    <xf numFmtId="164" fontId="1" fillId="0" borderId="0" applyFont="0" applyFill="0" applyBorder="0" applyAlignment="0" applyProtection="0"/>
    <xf numFmtId="0" fontId="70" fillId="0" borderId="31" applyNumberFormat="0" applyFill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0" fillId="0" borderId="0"/>
    <xf numFmtId="0" fontId="20" fillId="0" borderId="0"/>
    <xf numFmtId="164" fontId="1" fillId="0" borderId="0" applyFont="0" applyFill="0" applyBorder="0" applyAlignment="0" applyProtection="0"/>
    <xf numFmtId="0" fontId="20" fillId="0" borderId="0"/>
    <xf numFmtId="0" fontId="20" fillId="27" borderId="26" applyNumberFormat="0" applyFont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0" fillId="0" borderId="0"/>
    <xf numFmtId="0" fontId="20" fillId="27" borderId="26" applyNumberFormat="0" applyFont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0" fillId="0" borderId="0"/>
    <xf numFmtId="0" fontId="20" fillId="0" borderId="0"/>
    <xf numFmtId="0" fontId="20" fillId="27" borderId="26" applyNumberFormat="0" applyFont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0" fillId="0" borderId="0"/>
    <xf numFmtId="0" fontId="20" fillId="0" borderId="0"/>
    <xf numFmtId="0" fontId="20" fillId="27" borderId="26" applyNumberFormat="0" applyFont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</cellStyleXfs>
  <cellXfs count="283">
    <xf numFmtId="0" fontId="0" fillId="0" borderId="0" xfId="0"/>
    <xf numFmtId="0" fontId="0" fillId="0" borderId="0" xfId="0" applyProtection="1">
      <protection locked="0"/>
    </xf>
    <xf numFmtId="49" fontId="0" fillId="0" borderId="0" xfId="0" applyNumberFormat="1" applyProtection="1"/>
    <xf numFmtId="0" fontId="0" fillId="0" borderId="0" xfId="0" applyNumberFormat="1" applyProtection="1"/>
    <xf numFmtId="0" fontId="2" fillId="0" borderId="0" xfId="0" applyNumberFormat="1" applyFont="1" applyProtection="1"/>
    <xf numFmtId="49" fontId="2" fillId="0" borderId="0" xfId="0" applyNumberFormat="1" applyFont="1" applyProtection="1"/>
    <xf numFmtId="0" fontId="4" fillId="2" borderId="1" xfId="0" applyNumberFormat="1" applyFont="1" applyFill="1" applyBorder="1" applyAlignment="1" applyProtection="1">
      <alignment horizontal="center" wrapText="1"/>
    </xf>
    <xf numFmtId="0" fontId="4" fillId="2" borderId="1" xfId="0" applyNumberFormat="1" applyFont="1" applyFill="1" applyBorder="1" applyAlignment="1" applyProtection="1">
      <alignment horizontal="center" vertical="center" wrapText="1"/>
    </xf>
    <xf numFmtId="0" fontId="0" fillId="0" borderId="0" xfId="0" applyNumberFormat="1" applyAlignment="1" applyProtection="1">
      <alignment horizontal="center" vertical="center"/>
    </xf>
    <xf numFmtId="1" fontId="2" fillId="0" borderId="0" xfId="0" applyNumberFormat="1" applyFont="1" applyAlignment="1" applyProtection="1">
      <alignment horizontal="center" vertical="center"/>
    </xf>
    <xf numFmtId="49" fontId="0" fillId="0" borderId="0" xfId="0" applyNumberFormat="1" applyAlignment="1" applyProtection="1">
      <alignment horizontal="center" vertical="center"/>
    </xf>
    <xf numFmtId="49" fontId="7" fillId="0" borderId="0" xfId="0" applyNumberFormat="1" applyFont="1" applyProtection="1"/>
    <xf numFmtId="0" fontId="8" fillId="2" borderId="1" xfId="0" applyNumberFormat="1" applyFont="1" applyFill="1" applyBorder="1" applyAlignment="1" applyProtection="1">
      <alignment horizontal="center" wrapText="1"/>
    </xf>
    <xf numFmtId="0" fontId="9" fillId="0" borderId="0" xfId="0" applyNumberFormat="1" applyFont="1" applyProtection="1"/>
    <xf numFmtId="49" fontId="9" fillId="0" borderId="0" xfId="0" applyNumberFormat="1" applyFont="1" applyProtection="1"/>
    <xf numFmtId="49" fontId="0" fillId="0" borderId="0" xfId="0" applyNumberFormat="1" applyProtection="1">
      <protection locked="0"/>
    </xf>
    <xf numFmtId="0" fontId="10" fillId="0" borderId="0" xfId="0" applyNumberFormat="1" applyFont="1" applyProtection="1"/>
    <xf numFmtId="49" fontId="10" fillId="0" borderId="0" xfId="0" applyNumberFormat="1" applyFont="1" applyProtection="1"/>
    <xf numFmtId="0" fontId="8" fillId="0" borderId="0" xfId="0" applyNumberFormat="1" applyFont="1" applyFill="1" applyBorder="1" applyAlignment="1" applyProtection="1">
      <alignment horizontal="center" wrapText="1"/>
    </xf>
    <xf numFmtId="2" fontId="0" fillId="0" borderId="0" xfId="0" applyNumberFormat="1" applyProtection="1">
      <protection locked="0"/>
    </xf>
    <xf numFmtId="0" fontId="12" fillId="4" borderId="0" xfId="0" applyFont="1" applyFill="1" applyAlignment="1" applyProtection="1">
      <alignment horizontal="center"/>
      <protection locked="0"/>
    </xf>
    <xf numFmtId="0" fontId="12" fillId="4" borderId="0" xfId="0" applyFont="1" applyFill="1" applyAlignment="1" applyProtection="1">
      <alignment horizontal="center"/>
    </xf>
    <xf numFmtId="164" fontId="13" fillId="4" borderId="0" xfId="2" applyFont="1" applyFill="1" applyAlignment="1" applyProtection="1">
      <protection locked="0"/>
    </xf>
    <xf numFmtId="0" fontId="14" fillId="0" borderId="0" xfId="0" applyFont="1" applyProtection="1"/>
    <xf numFmtId="0" fontId="15" fillId="0" borderId="0" xfId="0" applyFont="1" applyProtection="1"/>
    <xf numFmtId="0" fontId="12" fillId="0" borderId="0" xfId="0" applyFont="1" applyProtection="1"/>
    <xf numFmtId="164" fontId="16" fillId="4" borderId="0" xfId="2" applyFont="1" applyFill="1" applyAlignment="1" applyProtection="1">
      <protection locked="0"/>
    </xf>
    <xf numFmtId="164" fontId="12" fillId="4" borderId="0" xfId="2" applyFont="1" applyFill="1" applyProtection="1">
      <protection locked="0"/>
    </xf>
    <xf numFmtId="0" fontId="12" fillId="4" borderId="0" xfId="0" applyFont="1" applyFill="1" applyProtection="1">
      <protection locked="0"/>
    </xf>
    <xf numFmtId="0" fontId="18" fillId="0" borderId="0" xfId="0" applyFont="1" applyProtection="1"/>
    <xf numFmtId="0" fontId="19" fillId="0" borderId="0" xfId="0" applyFont="1" applyProtection="1"/>
    <xf numFmtId="0" fontId="20" fillId="0" borderId="0" xfId="0" applyFont="1" applyProtection="1"/>
    <xf numFmtId="0" fontId="11" fillId="0" borderId="0" xfId="0" applyFont="1" applyProtection="1"/>
    <xf numFmtId="0" fontId="17" fillId="0" borderId="0" xfId="0" applyFont="1" applyBorder="1" applyAlignment="1">
      <alignment vertical="top"/>
    </xf>
    <xf numFmtId="0" fontId="11" fillId="0" borderId="0" xfId="0" applyFont="1" applyBorder="1" applyAlignment="1"/>
    <xf numFmtId="0" fontId="17" fillId="0" borderId="0" xfId="0" applyFont="1" applyBorder="1" applyAlignment="1">
      <alignment horizontal="left" vertical="top"/>
    </xf>
    <xf numFmtId="0" fontId="17" fillId="0" borderId="0" xfId="0" applyFont="1" applyBorder="1" applyAlignment="1" applyProtection="1">
      <alignment vertical="top" wrapText="1"/>
      <protection locked="0"/>
    </xf>
    <xf numFmtId="0" fontId="11" fillId="0" borderId="0" xfId="0" applyFont="1" applyBorder="1" applyAlignment="1" applyProtection="1"/>
    <xf numFmtId="0" fontId="17" fillId="0" borderId="0" xfId="0" applyFont="1" applyBorder="1" applyAlignment="1" applyProtection="1">
      <alignment horizontal="center" vertical="top" wrapText="1"/>
      <protection locked="0"/>
    </xf>
    <xf numFmtId="0" fontId="11" fillId="0" borderId="0" xfId="0" applyNumberFormat="1" applyFont="1" applyBorder="1" applyAlignment="1" applyProtection="1">
      <alignment vertical="center"/>
    </xf>
    <xf numFmtId="0" fontId="11" fillId="0" borderId="0" xfId="0" applyFont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left"/>
    </xf>
    <xf numFmtId="0" fontId="17" fillId="0" borderId="0" xfId="0" applyFont="1" applyBorder="1" applyAlignment="1"/>
    <xf numFmtId="166" fontId="17" fillId="0" borderId="0" xfId="0" applyNumberFormat="1" applyFont="1" applyBorder="1" applyAlignment="1">
      <alignment vertical="center"/>
    </xf>
    <xf numFmtId="0" fontId="17" fillId="0" borderId="0" xfId="0" applyFont="1" applyBorder="1"/>
    <xf numFmtId="0" fontId="18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center" vertical="center"/>
    </xf>
    <xf numFmtId="0" fontId="18" fillId="0" borderId="0" xfId="0" applyFont="1" applyBorder="1" applyProtection="1"/>
    <xf numFmtId="165" fontId="11" fillId="0" borderId="13" xfId="0" applyNumberFormat="1" applyFont="1" applyBorder="1" applyAlignment="1" applyProtection="1">
      <alignment vertical="top" wrapText="1"/>
    </xf>
    <xf numFmtId="0" fontId="19" fillId="0" borderId="0" xfId="0" applyFont="1" applyBorder="1" applyProtection="1"/>
    <xf numFmtId="0" fontId="11" fillId="0" borderId="13" xfId="0" applyFont="1" applyBorder="1" applyAlignment="1" applyProtection="1">
      <alignment vertical="top" wrapText="1"/>
    </xf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164" fontId="12" fillId="0" borderId="0" xfId="2" applyFont="1" applyProtection="1">
      <protection locked="0"/>
    </xf>
    <xf numFmtId="164" fontId="12" fillId="0" borderId="0" xfId="2" applyFont="1" applyProtection="1"/>
    <xf numFmtId="21" fontId="17" fillId="0" borderId="0" xfId="0" applyNumberFormat="1" applyFont="1" applyBorder="1" applyAlignment="1">
      <alignment vertical="top"/>
    </xf>
    <xf numFmtId="0" fontId="17" fillId="0" borderId="0" xfId="0" applyFont="1" applyBorder="1" applyAlignment="1">
      <alignment horizontal="center" vertical="top"/>
    </xf>
    <xf numFmtId="1" fontId="0" fillId="0" borderId="0" xfId="0" applyNumberFormat="1" applyAlignment="1" applyProtection="1">
      <alignment horizontal="center" vertical="center"/>
    </xf>
    <xf numFmtId="0" fontId="4" fillId="2" borderId="8" xfId="0" applyFont="1" applyFill="1" applyBorder="1" applyAlignment="1" applyProtection="1">
      <alignment horizontal="center"/>
      <protection locked="0"/>
    </xf>
    <xf numFmtId="49" fontId="7" fillId="0" borderId="0" xfId="0" applyNumberFormat="1" applyFont="1" applyProtection="1">
      <protection locked="0"/>
    </xf>
    <xf numFmtId="49" fontId="2" fillId="0" borderId="0" xfId="0" applyNumberFormat="1" applyFont="1" applyProtection="1">
      <protection locked="0"/>
    </xf>
    <xf numFmtId="0" fontId="24" fillId="4" borderId="0" xfId="0" applyFont="1" applyFill="1" applyAlignment="1" applyProtection="1">
      <alignment horizontal="right"/>
    </xf>
    <xf numFmtId="1" fontId="0" fillId="0" borderId="0" xfId="0" applyNumberFormat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vertical="top" wrapText="1"/>
      <protection locked="0"/>
    </xf>
    <xf numFmtId="0" fontId="26" fillId="0" borderId="0" xfId="0" applyFont="1" applyBorder="1" applyAlignment="1" applyProtection="1">
      <alignment vertical="top" wrapText="1"/>
      <protection locked="0"/>
    </xf>
    <xf numFmtId="0" fontId="26" fillId="0" borderId="0" xfId="0" applyFont="1" applyBorder="1" applyAlignment="1" applyProtection="1">
      <alignment horizontal="center" vertical="center"/>
    </xf>
    <xf numFmtId="0" fontId="26" fillId="0" borderId="0" xfId="0" applyFont="1" applyBorder="1" applyAlignment="1">
      <alignment horizontal="center" vertical="center"/>
    </xf>
    <xf numFmtId="167" fontId="0" fillId="0" borderId="0" xfId="0" applyNumberFormat="1" applyFont="1" applyBorder="1" applyAlignment="1" applyProtection="1">
      <alignment horizontal="center" vertical="center"/>
    </xf>
    <xf numFmtId="0" fontId="0" fillId="0" borderId="0" xfId="0" applyFont="1" applyBorder="1" applyAlignment="1">
      <alignment horizontal="center" vertical="center"/>
    </xf>
    <xf numFmtId="168" fontId="0" fillId="0" borderId="0" xfId="0" applyNumberFormat="1" applyFont="1" applyBorder="1" applyAlignment="1" applyProtection="1">
      <alignment horizontal="center" vertical="center"/>
    </xf>
    <xf numFmtId="169" fontId="0" fillId="0" borderId="0" xfId="0" applyNumberFormat="1" applyFont="1" applyBorder="1" applyAlignment="1" applyProtection="1">
      <alignment horizontal="center" vertical="center"/>
    </xf>
    <xf numFmtId="0" fontId="25" fillId="0" borderId="0" xfId="0" applyFont="1" applyBorder="1" applyAlignment="1">
      <alignment horizontal="left" vertical="top"/>
    </xf>
    <xf numFmtId="0" fontId="26" fillId="0" borderId="0" xfId="0" applyFont="1" applyBorder="1" applyAlignment="1" applyProtection="1">
      <alignment vertical="top"/>
      <protection locked="0"/>
    </xf>
    <xf numFmtId="0" fontId="25" fillId="0" borderId="0" xfId="0" applyFont="1" applyBorder="1" applyAlignment="1">
      <alignment vertical="top"/>
    </xf>
    <xf numFmtId="0" fontId="26" fillId="0" borderId="0" xfId="0" applyFont="1" applyBorder="1" applyAlignment="1">
      <alignment horizontal="justify" vertical="top"/>
    </xf>
    <xf numFmtId="0" fontId="27" fillId="3" borderId="0" xfId="0" applyFont="1" applyFill="1" applyBorder="1" applyAlignment="1" applyProtection="1">
      <alignment horizontal="center" vertical="center"/>
    </xf>
    <xf numFmtId="0" fontId="27" fillId="3" borderId="11" xfId="0" applyFont="1" applyFill="1" applyBorder="1" applyAlignment="1" applyProtection="1">
      <alignment horizontal="center" vertical="center"/>
    </xf>
    <xf numFmtId="164" fontId="27" fillId="3" borderId="11" xfId="2" applyFont="1" applyFill="1" applyBorder="1" applyAlignment="1" applyProtection="1">
      <alignment horizontal="center" vertical="center"/>
    </xf>
    <xf numFmtId="164" fontId="27" fillId="3" borderId="0" xfId="2" applyFont="1" applyFill="1" applyBorder="1" applyAlignment="1" applyProtection="1">
      <alignment horizontal="center" vertical="center"/>
    </xf>
    <xf numFmtId="0" fontId="26" fillId="3" borderId="0" xfId="2" applyNumberFormat="1" applyFont="1" applyFill="1" applyBorder="1" applyAlignment="1" applyProtection="1">
      <alignment horizontal="center" vertical="center" wrapText="1"/>
      <protection locked="0"/>
    </xf>
    <xf numFmtId="164" fontId="26" fillId="3" borderId="14" xfId="2" applyFont="1" applyFill="1" applyBorder="1" applyAlignment="1" applyProtection="1">
      <alignment horizontal="right" vertical="center" wrapText="1"/>
    </xf>
    <xf numFmtId="165" fontId="26" fillId="3" borderId="18" xfId="2" applyNumberFormat="1" applyFont="1" applyFill="1" applyBorder="1" applyAlignment="1" applyProtection="1">
      <alignment horizontal="right" vertical="center" wrapText="1"/>
      <protection locked="0"/>
    </xf>
    <xf numFmtId="164" fontId="26" fillId="3" borderId="18" xfId="2" applyFont="1" applyFill="1" applyBorder="1" applyAlignment="1" applyProtection="1">
      <alignment horizontal="right" vertical="center" wrapText="1"/>
    </xf>
    <xf numFmtId="164" fontId="26" fillId="3" borderId="13" xfId="2" applyFont="1" applyFill="1" applyBorder="1" applyAlignment="1" applyProtection="1">
      <alignment horizontal="right" vertical="center" wrapText="1"/>
    </xf>
    <xf numFmtId="165" fontId="26" fillId="3" borderId="0" xfId="2" applyNumberFormat="1" applyFont="1" applyFill="1" applyBorder="1" applyAlignment="1" applyProtection="1">
      <alignment horizontal="right" vertical="center" wrapText="1"/>
      <protection locked="0"/>
    </xf>
    <xf numFmtId="164" fontId="26" fillId="3" borderId="0" xfId="2" applyFont="1" applyFill="1" applyBorder="1" applyAlignment="1" applyProtection="1">
      <alignment horizontal="right" vertical="center" wrapText="1"/>
    </xf>
    <xf numFmtId="0" fontId="26" fillId="3" borderId="0" xfId="2" applyNumberFormat="1" applyFont="1" applyFill="1" applyBorder="1" applyAlignment="1" applyProtection="1">
      <alignment horizontal="left" vertical="top" wrapText="1"/>
      <protection locked="0"/>
    </xf>
    <xf numFmtId="164" fontId="26" fillId="0" borderId="0" xfId="2" applyFont="1" applyAlignment="1" applyProtection="1">
      <alignment horizontal="center"/>
    </xf>
    <xf numFmtId="0" fontId="26" fillId="0" borderId="0" xfId="2" applyNumberFormat="1" applyFont="1" applyBorder="1" applyAlignment="1" applyProtection="1">
      <alignment horizontal="center"/>
    </xf>
    <xf numFmtId="164" fontId="26" fillId="0" borderId="14" xfId="2" applyFont="1" applyBorder="1" applyProtection="1"/>
    <xf numFmtId="165" fontId="26" fillId="0" borderId="18" xfId="2" applyNumberFormat="1" applyFont="1" applyBorder="1" applyProtection="1"/>
    <xf numFmtId="164" fontId="26" fillId="0" borderId="18" xfId="2" applyFont="1" applyBorder="1" applyProtection="1"/>
    <xf numFmtId="164" fontId="26" fillId="0" borderId="13" xfId="2" applyFont="1" applyBorder="1" applyProtection="1"/>
    <xf numFmtId="165" fontId="26" fillId="0" borderId="0" xfId="2" applyNumberFormat="1" applyFont="1" applyBorder="1" applyProtection="1"/>
    <xf numFmtId="164" fontId="26" fillId="0" borderId="0" xfId="2" applyFont="1" applyBorder="1" applyProtection="1"/>
    <xf numFmtId="0" fontId="29" fillId="0" borderId="0" xfId="0" applyFont="1" applyProtection="1"/>
    <xf numFmtId="0" fontId="30" fillId="0" borderId="0" xfId="0" applyFont="1" applyBorder="1" applyAlignment="1" applyProtection="1">
      <alignment vertical="center"/>
    </xf>
    <xf numFmtId="0" fontId="26" fillId="0" borderId="13" xfId="0" applyFont="1" applyBorder="1" applyAlignment="1" applyProtection="1">
      <alignment vertical="center" wrapText="1"/>
    </xf>
    <xf numFmtId="0" fontId="26" fillId="0" borderId="0" xfId="0" applyFont="1" applyBorder="1" applyAlignment="1" applyProtection="1">
      <alignment vertical="center" wrapText="1"/>
    </xf>
    <xf numFmtId="0" fontId="26" fillId="0" borderId="14" xfId="0" applyFont="1" applyBorder="1" applyAlignment="1" applyProtection="1">
      <alignment vertical="center" wrapText="1"/>
    </xf>
    <xf numFmtId="0" fontId="26" fillId="0" borderId="0" xfId="0" applyFont="1" applyBorder="1" applyAlignment="1" applyProtection="1">
      <alignment vertical="top" wrapText="1"/>
    </xf>
    <xf numFmtId="0" fontId="26" fillId="0" borderId="13" xfId="0" applyFont="1" applyBorder="1" applyAlignment="1" applyProtection="1">
      <alignment vertical="top" wrapText="1"/>
    </xf>
    <xf numFmtId="0" fontId="26" fillId="0" borderId="14" xfId="0" applyFont="1" applyBorder="1" applyAlignment="1" applyProtection="1">
      <alignment vertical="top" wrapText="1"/>
    </xf>
    <xf numFmtId="0" fontId="26" fillId="0" borderId="0" xfId="0" applyFont="1" applyBorder="1" applyAlignment="1" applyProtection="1">
      <alignment horizontal="center" vertical="top" wrapText="1"/>
    </xf>
    <xf numFmtId="0" fontId="23" fillId="0" borderId="0" xfId="0" applyFont="1" applyBorder="1" applyAlignment="1" applyProtection="1">
      <alignment vertical="center"/>
    </xf>
    <xf numFmtId="49" fontId="32" fillId="0" borderId="0" xfId="0" applyNumberFormat="1" applyFont="1" applyBorder="1" applyAlignment="1" applyProtection="1">
      <protection locked="0"/>
    </xf>
    <xf numFmtId="49" fontId="23" fillId="0" borderId="0" xfId="0" applyNumberFormat="1" applyFont="1" applyBorder="1" applyAlignment="1" applyProtection="1">
      <protection locked="0"/>
    </xf>
    <xf numFmtId="14" fontId="7" fillId="0" borderId="0" xfId="0" applyNumberFormat="1" applyFont="1" applyProtection="1"/>
    <xf numFmtId="171" fontId="7" fillId="0" borderId="0" xfId="0" applyNumberFormat="1" applyFont="1" applyProtection="1"/>
    <xf numFmtId="0" fontId="31" fillId="0" borderId="0" xfId="0" applyFont="1" applyBorder="1" applyAlignment="1" applyProtection="1">
      <alignment horizontal="left" vertical="top" wrapText="1"/>
      <protection locked="0"/>
    </xf>
    <xf numFmtId="0" fontId="4" fillId="2" borderId="8" xfId="0" applyFont="1" applyFill="1" applyBorder="1" applyAlignment="1" applyProtection="1">
      <alignment horizontal="center"/>
    </xf>
    <xf numFmtId="0" fontId="2" fillId="0" borderId="0" xfId="0" applyNumberFormat="1" applyFont="1" applyBorder="1" applyProtection="1"/>
    <xf numFmtId="49" fontId="2" fillId="0" borderId="0" xfId="0" applyNumberFormat="1" applyFont="1" applyFill="1" applyBorder="1" applyAlignment="1" applyProtection="1">
      <alignment vertical="center"/>
      <protection locked="0"/>
    </xf>
    <xf numFmtId="0" fontId="7" fillId="0" borderId="0" xfId="0" applyNumberFormat="1" applyFont="1" applyProtection="1"/>
    <xf numFmtId="0" fontId="2" fillId="0" borderId="0" xfId="0" applyNumberFormat="1" applyFont="1" applyFill="1" applyBorder="1" applyAlignment="1" applyProtection="1">
      <alignment horizontal="center" wrapText="1"/>
    </xf>
    <xf numFmtId="0" fontId="0" fillId="0" borderId="0" xfId="0" applyBorder="1" applyAlignment="1" applyProtection="1">
      <alignment horizontal="left" vertical="center"/>
      <protection locked="0"/>
    </xf>
    <xf numFmtId="49" fontId="8" fillId="2" borderId="0" xfId="0" applyNumberFormat="1" applyFont="1" applyFill="1" applyProtection="1"/>
    <xf numFmtId="49" fontId="8" fillId="2" borderId="0" xfId="0" applyNumberFormat="1" applyFont="1" applyFill="1" applyProtection="1">
      <protection locked="0"/>
    </xf>
    <xf numFmtId="0" fontId="27" fillId="3" borderId="0" xfId="0" applyFont="1" applyFill="1" applyBorder="1" applyAlignment="1" applyProtection="1">
      <alignment horizontal="center" vertical="center"/>
    </xf>
    <xf numFmtId="0" fontId="17" fillId="0" borderId="0" xfId="0" applyFont="1" applyBorder="1" applyAlignment="1" applyProtection="1">
      <alignment horizontal="left" vertical="center"/>
      <protection locked="0"/>
    </xf>
    <xf numFmtId="0" fontId="17" fillId="0" borderId="0" xfId="0" applyFont="1" applyBorder="1" applyAlignment="1">
      <alignment horizontal="left" vertical="center" wrapText="1"/>
    </xf>
    <xf numFmtId="0" fontId="17" fillId="0" borderId="0" xfId="0" applyFont="1" applyBorder="1" applyAlignment="1" applyProtection="1">
      <alignment horizontal="left" vertical="center"/>
    </xf>
    <xf numFmtId="0" fontId="31" fillId="0" borderId="0" xfId="0" applyFont="1" applyBorder="1" applyAlignment="1" applyProtection="1">
      <alignment horizontal="left" vertical="top" wrapText="1"/>
      <protection locked="0"/>
    </xf>
    <xf numFmtId="0" fontId="27" fillId="3" borderId="13" xfId="0" applyFont="1" applyFill="1" applyBorder="1" applyAlignment="1" applyProtection="1">
      <alignment horizontal="center" vertical="center"/>
    </xf>
    <xf numFmtId="165" fontId="11" fillId="3" borderId="13" xfId="2" applyNumberFormat="1" applyFont="1" applyFill="1" applyBorder="1" applyAlignment="1" applyProtection="1">
      <alignment horizontal="center" vertical="center" wrapText="1"/>
      <protection locked="0"/>
    </xf>
    <xf numFmtId="165" fontId="11" fillId="0" borderId="13" xfId="2" applyNumberFormat="1" applyFont="1" applyBorder="1" applyAlignment="1" applyProtection="1">
      <alignment horizontal="center"/>
    </xf>
    <xf numFmtId="0" fontId="22" fillId="0" borderId="0" xfId="0" applyFont="1" applyBorder="1" applyAlignment="1" applyProtection="1">
      <alignment vertical="top" wrapText="1"/>
      <protection locked="0"/>
    </xf>
    <xf numFmtId="49" fontId="11" fillId="0" borderId="0" xfId="0" applyNumberFormat="1" applyFont="1" applyBorder="1" applyAlignment="1" applyProtection="1">
      <alignment vertical="center"/>
    </xf>
    <xf numFmtId="0" fontId="0" fillId="0" borderId="0" xfId="0"/>
    <xf numFmtId="0" fontId="6" fillId="0" borderId="0" xfId="0" applyFont="1" applyProtection="1"/>
    <xf numFmtId="0" fontId="15" fillId="0" borderId="0" xfId="0" applyFont="1" applyProtection="1"/>
    <xf numFmtId="0" fontId="12" fillId="0" borderId="0" xfId="0" applyFont="1" applyProtection="1"/>
    <xf numFmtId="0" fontId="19" fillId="0" borderId="0" xfId="0" applyFont="1" applyProtection="1"/>
    <xf numFmtId="0" fontId="18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center" vertical="center"/>
    </xf>
    <xf numFmtId="0" fontId="11" fillId="0" borderId="0" xfId="0" applyFont="1" applyBorder="1" applyAlignment="1" applyProtection="1">
      <protection locked="0"/>
    </xf>
    <xf numFmtId="0" fontId="67" fillId="0" borderId="0" xfId="0" applyFont="1"/>
    <xf numFmtId="0" fontId="12" fillId="4" borderId="0" xfId="0" applyFont="1" applyFill="1" applyAlignment="1" applyProtection="1">
      <alignment horizontal="center"/>
    </xf>
    <xf numFmtId="49" fontId="4" fillId="2" borderId="2" xfId="0" applyNumberFormat="1" applyFont="1" applyFill="1" applyBorder="1" applyAlignment="1" applyProtection="1">
      <alignment horizontal="center" vertical="center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0" fillId="0" borderId="0" xfId="0" applyNumberFormat="1" applyFont="1" applyProtection="1">
      <protection locked="0"/>
    </xf>
    <xf numFmtId="0" fontId="0" fillId="0" borderId="0" xfId="0" applyNumberFormat="1" applyAlignment="1" applyProtection="1">
      <alignment horizontal="center" vertical="center"/>
      <protection locked="0"/>
    </xf>
    <xf numFmtId="49" fontId="0" fillId="0" borderId="0" xfId="0" applyNumberFormat="1" applyAlignment="1" applyProtection="1"/>
    <xf numFmtId="49" fontId="0" fillId="0" borderId="0" xfId="0" applyNumberFormat="1" applyProtection="1"/>
    <xf numFmtId="0" fontId="6" fillId="0" borderId="0" xfId="0" applyFont="1" applyProtection="1"/>
    <xf numFmtId="2" fontId="2" fillId="0" borderId="0" xfId="0" applyNumberFormat="1" applyFont="1" applyProtection="1"/>
    <xf numFmtId="49" fontId="4" fillId="2" borderId="1" xfId="0" applyNumberFormat="1" applyFont="1" applyFill="1" applyBorder="1" applyAlignment="1" applyProtection="1">
      <alignment horizontal="right"/>
    </xf>
    <xf numFmtId="49" fontId="2" fillId="3" borderId="3" xfId="0" applyNumberFormat="1" applyFont="1" applyFill="1" applyBorder="1" applyAlignment="1" applyProtection="1">
      <alignment horizontal="left"/>
    </xf>
    <xf numFmtId="49" fontId="2" fillId="3" borderId="3" xfId="0" applyNumberFormat="1" applyFont="1" applyFill="1" applyBorder="1" applyProtection="1"/>
    <xf numFmtId="0" fontId="4" fillId="2" borderId="36" xfId="0" applyFont="1" applyFill="1" applyBorder="1" applyAlignment="1" applyProtection="1">
      <alignment horizontal="center" vertical="center"/>
    </xf>
    <xf numFmtId="0" fontId="4" fillId="2" borderId="37" xfId="0" applyFont="1" applyFill="1" applyBorder="1" applyAlignment="1" applyProtection="1">
      <alignment horizontal="center" vertical="center" wrapText="1"/>
    </xf>
    <xf numFmtId="0" fontId="4" fillId="2" borderId="38" xfId="0" applyFont="1" applyFill="1" applyBorder="1" applyAlignment="1" applyProtection="1">
      <alignment horizontal="center" vertical="center"/>
    </xf>
    <xf numFmtId="0" fontId="4" fillId="2" borderId="38" xfId="0" applyFont="1" applyFill="1" applyBorder="1" applyAlignment="1" applyProtection="1">
      <alignment horizontal="center" vertical="center" wrapText="1"/>
    </xf>
    <xf numFmtId="0" fontId="4" fillId="2" borderId="37" xfId="0" applyFont="1" applyFill="1" applyBorder="1" applyAlignment="1" applyProtection="1">
      <alignment horizontal="center" vertical="center"/>
    </xf>
    <xf numFmtId="0" fontId="0" fillId="0" borderId="36" xfId="0" applyFill="1" applyBorder="1" applyAlignment="1" applyProtection="1">
      <alignment horizontal="center"/>
      <protection locked="0"/>
    </xf>
    <xf numFmtId="2" fontId="0" fillId="0" borderId="37" xfId="0" applyNumberFormat="1" applyFill="1" applyBorder="1" applyAlignment="1" applyProtection="1">
      <protection locked="0"/>
    </xf>
    <xf numFmtId="0" fontId="0" fillId="0" borderId="38" xfId="0" applyFill="1" applyBorder="1" applyAlignment="1" applyProtection="1">
      <alignment horizontal="left"/>
      <protection locked="0"/>
    </xf>
    <xf numFmtId="4" fontId="0" fillId="0" borderId="38" xfId="0" applyNumberFormat="1" applyFill="1" applyBorder="1" applyAlignment="1" applyProtection="1">
      <alignment horizontal="right"/>
      <protection locked="0"/>
    </xf>
    <xf numFmtId="2" fontId="0" fillId="0" borderId="37" xfId="0" applyNumberFormat="1" applyFill="1" applyBorder="1" applyAlignment="1" applyProtection="1">
      <alignment horizontal="right"/>
      <protection locked="0"/>
    </xf>
    <xf numFmtId="2" fontId="0" fillId="0" borderId="36" xfId="0" applyNumberFormat="1" applyFill="1" applyBorder="1" applyAlignment="1" applyProtection="1">
      <protection locked="0"/>
    </xf>
    <xf numFmtId="164" fontId="0" fillId="0" borderId="0" xfId="498" applyFont="1"/>
    <xf numFmtId="164" fontId="0" fillId="0" borderId="0" xfId="2" applyFont="1" applyProtection="1">
      <protection locked="0"/>
    </xf>
    <xf numFmtId="49" fontId="0" fillId="0" borderId="37" xfId="0" applyNumberFormat="1" applyFill="1" applyBorder="1" applyAlignment="1" applyProtection="1">
      <protection locked="0"/>
    </xf>
    <xf numFmtId="0" fontId="71" fillId="0" borderId="0" xfId="0" applyFont="1"/>
    <xf numFmtId="49" fontId="72" fillId="0" borderId="0" xfId="0" applyNumberFormat="1" applyFont="1" applyProtection="1">
      <protection locked="0"/>
    </xf>
    <xf numFmtId="49" fontId="3" fillId="0" borderId="0" xfId="1" applyNumberFormat="1" applyAlignment="1" applyProtection="1">
      <protection locked="0"/>
    </xf>
    <xf numFmtId="49" fontId="0" fillId="0" borderId="0" xfId="0" applyNumberFormat="1" applyFill="1" applyProtection="1">
      <protection locked="0"/>
    </xf>
    <xf numFmtId="49" fontId="68" fillId="0" borderId="0" xfId="0" applyNumberFormat="1" applyFont="1" applyProtection="1">
      <protection locked="0"/>
    </xf>
    <xf numFmtId="4" fontId="0" fillId="0" borderId="0" xfId="0" applyNumberFormat="1" applyProtection="1">
      <protection locked="0"/>
    </xf>
    <xf numFmtId="0" fontId="0" fillId="30" borderId="36" xfId="0" applyFill="1" applyBorder="1" applyAlignment="1" applyProtection="1">
      <alignment horizontal="center"/>
      <protection locked="0"/>
    </xf>
    <xf numFmtId="49" fontId="0" fillId="30" borderId="37" xfId="0" applyNumberFormat="1" applyFill="1" applyBorder="1" applyAlignment="1" applyProtection="1">
      <protection locked="0"/>
    </xf>
    <xf numFmtId="49" fontId="0" fillId="30" borderId="0" xfId="0" applyNumberFormat="1" applyFill="1" applyProtection="1">
      <protection locked="0"/>
    </xf>
    <xf numFmtId="4" fontId="0" fillId="30" borderId="0" xfId="0" applyNumberFormat="1" applyFill="1"/>
    <xf numFmtId="0" fontId="67" fillId="3" borderId="0" xfId="2" applyNumberFormat="1" applyFont="1" applyFill="1" applyBorder="1" applyAlignment="1" applyProtection="1">
      <alignment horizontal="center" vertical="center" wrapText="1"/>
      <protection locked="0"/>
    </xf>
    <xf numFmtId="0" fontId="73" fillId="0" borderId="0" xfId="0" applyFont="1"/>
    <xf numFmtId="164" fontId="26" fillId="3" borderId="0" xfId="2" applyFont="1" applyFill="1" applyBorder="1" applyAlignment="1" applyProtection="1">
      <alignment horizontal="center" vertical="center" wrapText="1"/>
    </xf>
    <xf numFmtId="164" fontId="26" fillId="3" borderId="0" xfId="2" applyFont="1" applyFill="1" applyBorder="1" applyAlignment="1" applyProtection="1">
      <alignment horizontal="center" vertical="center" wrapText="1"/>
      <protection locked="0"/>
    </xf>
    <xf numFmtId="0" fontId="26" fillId="3" borderId="0" xfId="2" applyNumberFormat="1" applyFont="1" applyFill="1" applyBorder="1" applyAlignment="1" applyProtection="1">
      <alignment horizontal="left" vertical="top" wrapText="1"/>
      <protection locked="0"/>
    </xf>
    <xf numFmtId="0" fontId="30" fillId="0" borderId="18" xfId="0" applyFont="1" applyFill="1" applyBorder="1" applyAlignment="1" applyProtection="1">
      <alignment horizontal="right" vertical="center"/>
    </xf>
    <xf numFmtId="0" fontId="30" fillId="0" borderId="13" xfId="0" applyFont="1" applyFill="1" applyBorder="1" applyAlignment="1" applyProtection="1">
      <alignment horizontal="right" vertical="center"/>
    </xf>
    <xf numFmtId="0" fontId="30" fillId="0" borderId="14" xfId="0" applyFont="1" applyFill="1" applyBorder="1" applyAlignment="1" applyProtection="1">
      <alignment horizontal="right" vertical="center"/>
    </xf>
    <xf numFmtId="0" fontId="28" fillId="3" borderId="0" xfId="2" applyNumberFormat="1" applyFont="1" applyFill="1" applyBorder="1" applyAlignment="1" applyProtection="1">
      <alignment horizontal="center" vertical="center" wrapText="1"/>
      <protection locked="0"/>
    </xf>
    <xf numFmtId="164" fontId="26" fillId="0" borderId="0" xfId="2" applyFont="1" applyBorder="1" applyAlignment="1" applyProtection="1">
      <alignment horizontal="center"/>
    </xf>
    <xf numFmtId="0" fontId="26" fillId="0" borderId="0" xfId="0" applyFont="1" applyBorder="1" applyAlignment="1" applyProtection="1">
      <alignment horizontal="left" vertical="top" wrapText="1"/>
      <protection locked="0"/>
    </xf>
    <xf numFmtId="0" fontId="26" fillId="0" borderId="0" xfId="0" applyFont="1" applyBorder="1" applyAlignment="1">
      <alignment horizontal="left" vertical="top" wrapText="1"/>
    </xf>
    <xf numFmtId="0" fontId="26" fillId="0" borderId="0" xfId="0" applyFont="1" applyBorder="1" applyAlignment="1">
      <alignment horizontal="left"/>
    </xf>
    <xf numFmtId="0" fontId="26" fillId="3" borderId="0" xfId="2" applyNumberFormat="1" applyFont="1" applyFill="1" applyBorder="1" applyAlignment="1" applyProtection="1">
      <alignment horizontal="center" vertical="top" wrapText="1"/>
      <protection locked="0"/>
    </xf>
    <xf numFmtId="49" fontId="17" fillId="0" borderId="0" xfId="0" applyNumberFormat="1" applyFont="1" applyBorder="1" applyAlignment="1" applyProtection="1">
      <alignment horizontal="left" vertical="center" wrapText="1"/>
    </xf>
    <xf numFmtId="0" fontId="26" fillId="0" borderId="0" xfId="0" applyFont="1" applyBorder="1" applyAlignment="1">
      <alignment horizontal="left" vertical="top"/>
    </xf>
    <xf numFmtId="0" fontId="23" fillId="0" borderId="0" xfId="0" applyFont="1" applyBorder="1" applyAlignment="1" applyProtection="1">
      <alignment horizontal="left" vertical="center" wrapText="1"/>
      <protection locked="0"/>
    </xf>
    <xf numFmtId="0" fontId="23" fillId="0" borderId="0" xfId="0" applyFont="1" applyBorder="1" applyAlignment="1" applyProtection="1">
      <alignment horizontal="left" vertical="center"/>
    </xf>
    <xf numFmtId="0" fontId="23" fillId="0" borderId="0" xfId="0" applyNumberFormat="1" applyFont="1" applyBorder="1" applyAlignment="1" applyProtection="1">
      <alignment horizontal="left" vertical="center"/>
    </xf>
    <xf numFmtId="21" fontId="26" fillId="0" borderId="0" xfId="0" applyNumberFormat="1" applyFont="1" applyBorder="1" applyAlignment="1">
      <alignment horizontal="center" vertical="top"/>
    </xf>
    <xf numFmtId="0" fontId="26" fillId="0" borderId="0" xfId="0" applyFont="1" applyBorder="1" applyAlignment="1">
      <alignment horizontal="center" vertical="top"/>
    </xf>
    <xf numFmtId="0" fontId="26" fillId="0" borderId="0" xfId="0" applyFont="1" applyBorder="1" applyAlignment="1" applyProtection="1">
      <alignment horizontal="center" vertical="center"/>
    </xf>
    <xf numFmtId="11" fontId="11" fillId="0" borderId="0" xfId="0" applyNumberFormat="1" applyFont="1" applyBorder="1" applyAlignment="1" applyProtection="1">
      <alignment horizontal="left"/>
    </xf>
    <xf numFmtId="0" fontId="11" fillId="0" borderId="0" xfId="0" applyFont="1" applyBorder="1" applyAlignment="1" applyProtection="1">
      <alignment horizontal="left"/>
    </xf>
    <xf numFmtId="22" fontId="11" fillId="0" borderId="0" xfId="0" applyNumberFormat="1" applyFont="1" applyBorder="1" applyAlignment="1">
      <alignment horizontal="left" wrapText="1"/>
    </xf>
    <xf numFmtId="0" fontId="11" fillId="0" borderId="0" xfId="0" applyFont="1" applyBorder="1" applyAlignment="1">
      <alignment horizontal="left" wrapText="1"/>
    </xf>
    <xf numFmtId="49" fontId="11" fillId="0" borderId="0" xfId="0" applyNumberFormat="1" applyFont="1" applyBorder="1" applyAlignment="1" applyProtection="1">
      <alignment horizontal="left" vertical="center"/>
    </xf>
    <xf numFmtId="0" fontId="17" fillId="0" borderId="0" xfId="0" applyFont="1" applyBorder="1" applyAlignment="1">
      <alignment horizontal="left" vertical="center" wrapText="1"/>
    </xf>
    <xf numFmtId="0" fontId="17" fillId="0" borderId="0" xfId="0" applyFont="1" applyBorder="1" applyAlignment="1">
      <alignment horizontal="left" vertical="top"/>
    </xf>
    <xf numFmtId="0" fontId="11" fillId="0" borderId="0" xfId="0" applyFont="1" applyBorder="1" applyAlignment="1">
      <alignment horizontal="left" vertical="top"/>
    </xf>
    <xf numFmtId="49" fontId="11" fillId="0" borderId="0" xfId="0" applyNumberFormat="1" applyFont="1" applyBorder="1" applyAlignment="1">
      <alignment horizontal="left" vertical="top"/>
    </xf>
    <xf numFmtId="0" fontId="21" fillId="0" borderId="0" xfId="0" applyFont="1" applyBorder="1" applyAlignment="1">
      <alignment horizontal="left" vertical="top"/>
    </xf>
    <xf numFmtId="0" fontId="22" fillId="0" borderId="0" xfId="0" applyFont="1" applyBorder="1" applyAlignment="1" applyProtection="1">
      <alignment horizontal="left" vertical="center" wrapText="1"/>
      <protection locked="0"/>
    </xf>
    <xf numFmtId="0" fontId="11" fillId="0" borderId="0" xfId="0" applyFont="1" applyBorder="1" applyAlignment="1" applyProtection="1">
      <alignment horizontal="left" vertical="center"/>
    </xf>
    <xf numFmtId="164" fontId="27" fillId="3" borderId="0" xfId="2" applyFont="1" applyFill="1" applyBorder="1" applyAlignment="1" applyProtection="1">
      <alignment horizontal="center" vertical="center"/>
    </xf>
    <xf numFmtId="0" fontId="30" fillId="0" borderId="13" xfId="0" applyFont="1" applyBorder="1" applyAlignment="1" applyProtection="1">
      <alignment horizontal="left" vertical="center"/>
    </xf>
    <xf numFmtId="0" fontId="30" fillId="0" borderId="0" xfId="0" applyFont="1" applyBorder="1" applyAlignment="1" applyProtection="1">
      <alignment horizontal="left" vertical="center"/>
    </xf>
    <xf numFmtId="0" fontId="13" fillId="4" borderId="0" xfId="0" applyFont="1" applyFill="1" applyAlignment="1" applyProtection="1">
      <alignment horizontal="left" vertical="center"/>
    </xf>
    <xf numFmtId="0" fontId="11" fillId="0" borderId="0" xfId="0" applyFont="1" applyBorder="1" applyAlignment="1" applyProtection="1">
      <alignment vertical="center"/>
    </xf>
    <xf numFmtId="0" fontId="27" fillId="3" borderId="15" xfId="0" applyFont="1" applyFill="1" applyBorder="1" applyAlignment="1" applyProtection="1">
      <alignment horizontal="center" vertical="center"/>
    </xf>
    <xf numFmtId="0" fontId="27" fillId="3" borderId="0" xfId="0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center" vertical="center"/>
    </xf>
    <xf numFmtId="0" fontId="23" fillId="0" borderId="0" xfId="0" applyFont="1" applyBorder="1" applyAlignment="1" applyProtection="1">
      <alignment horizontal="left" wrapText="1"/>
      <protection locked="0"/>
    </xf>
    <xf numFmtId="14" fontId="20" fillId="0" borderId="0" xfId="0" applyNumberFormat="1" applyFont="1" applyBorder="1" applyAlignment="1">
      <alignment horizontal="left" vertical="top"/>
    </xf>
    <xf numFmtId="0" fontId="12" fillId="0" borderId="0" xfId="0" applyFont="1" applyAlignment="1" applyProtection="1">
      <alignment horizontal="center"/>
      <protection locked="0"/>
    </xf>
    <xf numFmtId="0" fontId="30" fillId="0" borderId="0" xfId="0" applyFont="1" applyFill="1" applyBorder="1" applyAlignment="1" applyProtection="1">
      <alignment horizontal="right" vertical="center"/>
    </xf>
    <xf numFmtId="164" fontId="26" fillId="0" borderId="14" xfId="2" applyFont="1" applyBorder="1" applyAlignment="1" applyProtection="1">
      <alignment horizontal="right" vertical="center"/>
    </xf>
    <xf numFmtId="164" fontId="26" fillId="0" borderId="13" xfId="2" applyFont="1" applyBorder="1" applyAlignment="1" applyProtection="1">
      <alignment horizontal="right" vertical="center"/>
    </xf>
    <xf numFmtId="4" fontId="30" fillId="0" borderId="16" xfId="0" applyNumberFormat="1" applyFont="1" applyFill="1" applyBorder="1" applyAlignment="1" applyProtection="1">
      <alignment horizontal="right" vertical="center"/>
      <protection locked="0"/>
    </xf>
    <xf numFmtId="4" fontId="30" fillId="0" borderId="17" xfId="0" applyNumberFormat="1" applyFont="1" applyFill="1" applyBorder="1" applyAlignment="1" applyProtection="1">
      <alignment horizontal="right" vertical="center"/>
      <protection locked="0"/>
    </xf>
    <xf numFmtId="4" fontId="30" fillId="0" borderId="12" xfId="0" applyNumberFormat="1" applyFont="1" applyFill="1" applyBorder="1" applyAlignment="1" applyProtection="1">
      <alignment horizontal="right" vertical="center"/>
      <protection locked="0"/>
    </xf>
    <xf numFmtId="4" fontId="30" fillId="0" borderId="19" xfId="0" applyNumberFormat="1" applyFont="1" applyFill="1" applyBorder="1" applyAlignment="1" applyProtection="1">
      <alignment horizontal="right" vertical="center"/>
      <protection locked="0"/>
    </xf>
    <xf numFmtId="0" fontId="26" fillId="0" borderId="13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31" fillId="0" borderId="32" xfId="0" applyFont="1" applyBorder="1" applyAlignment="1" applyProtection="1">
      <alignment horizontal="left" vertical="top" wrapText="1"/>
      <protection locked="0"/>
    </xf>
    <xf numFmtId="0" fontId="31" fillId="0" borderId="11" xfId="0" applyFont="1" applyBorder="1" applyAlignment="1" applyProtection="1">
      <alignment horizontal="left" vertical="top" wrapText="1"/>
      <protection locked="0"/>
    </xf>
    <xf numFmtId="0" fontId="31" fillId="0" borderId="12" xfId="0" applyFont="1" applyBorder="1" applyAlignment="1" applyProtection="1">
      <alignment horizontal="left" vertical="top" wrapText="1"/>
      <protection locked="0"/>
    </xf>
    <xf numFmtId="0" fontId="31" fillId="0" borderId="13" xfId="0" applyFont="1" applyBorder="1" applyAlignment="1" applyProtection="1">
      <alignment horizontal="left" vertical="top" wrapText="1"/>
      <protection locked="0"/>
    </xf>
    <xf numFmtId="0" fontId="31" fillId="0" borderId="0" xfId="0" applyFont="1" applyBorder="1" applyAlignment="1" applyProtection="1">
      <alignment horizontal="left" vertical="top" wrapText="1"/>
      <protection locked="0"/>
    </xf>
    <xf numFmtId="0" fontId="31" fillId="0" borderId="14" xfId="0" applyFont="1" applyBorder="1" applyAlignment="1" applyProtection="1">
      <alignment horizontal="left" vertical="top" wrapText="1"/>
      <protection locked="0"/>
    </xf>
    <xf numFmtId="0" fontId="31" fillId="0" borderId="33" xfId="0" applyFont="1" applyBorder="1" applyAlignment="1" applyProtection="1">
      <alignment horizontal="left" vertical="top" wrapText="1"/>
      <protection locked="0"/>
    </xf>
    <xf numFmtId="0" fontId="31" fillId="0" borderId="34" xfId="0" applyFont="1" applyBorder="1" applyAlignment="1" applyProtection="1">
      <alignment horizontal="left" vertical="top" wrapText="1"/>
      <protection locked="0"/>
    </xf>
    <xf numFmtId="0" fontId="31" fillId="0" borderId="35" xfId="0" applyFont="1" applyBorder="1" applyAlignment="1" applyProtection="1">
      <alignment horizontal="left" vertical="top" wrapText="1"/>
      <protection locked="0"/>
    </xf>
    <xf numFmtId="0" fontId="12" fillId="0" borderId="32" xfId="0" applyFont="1" applyBorder="1" applyAlignment="1" applyProtection="1">
      <alignment horizontal="left" vertical="top" wrapText="1"/>
      <protection locked="0"/>
    </xf>
    <xf numFmtId="0" fontId="12" fillId="0" borderId="11" xfId="0" applyFont="1" applyBorder="1" applyAlignment="1" applyProtection="1">
      <alignment horizontal="left" vertical="top" wrapText="1"/>
      <protection locked="0"/>
    </xf>
    <xf numFmtId="0" fontId="12" fillId="0" borderId="12" xfId="0" applyFont="1" applyBorder="1" applyAlignment="1" applyProtection="1">
      <alignment horizontal="left" vertical="top" wrapText="1"/>
      <protection locked="0"/>
    </xf>
    <xf numFmtId="0" fontId="12" fillId="0" borderId="33" xfId="0" applyFont="1" applyBorder="1" applyAlignment="1" applyProtection="1">
      <alignment horizontal="left" vertical="top" wrapText="1"/>
      <protection locked="0"/>
    </xf>
    <xf numFmtId="0" fontId="12" fillId="0" borderId="34" xfId="0" applyFont="1" applyBorder="1" applyAlignment="1" applyProtection="1">
      <alignment horizontal="left" vertical="top" wrapText="1"/>
      <protection locked="0"/>
    </xf>
    <xf numFmtId="0" fontId="12" fillId="0" borderId="35" xfId="0" applyFont="1" applyBorder="1" applyAlignment="1" applyProtection="1">
      <alignment horizontal="left" vertical="top" wrapText="1"/>
      <protection locked="0"/>
    </xf>
    <xf numFmtId="0" fontId="0" fillId="0" borderId="0" xfId="0" applyBorder="1" applyAlignment="1" applyProtection="1">
      <alignment horizontal="left" vertical="center"/>
      <protection locked="0"/>
    </xf>
    <xf numFmtId="49" fontId="5" fillId="3" borderId="4" xfId="0" applyNumberFormat="1" applyFont="1" applyFill="1" applyBorder="1" applyAlignment="1" applyProtection="1">
      <alignment horizontal="left"/>
    </xf>
    <xf numFmtId="49" fontId="5" fillId="3" borderId="5" xfId="0" applyNumberFormat="1" applyFont="1" applyFill="1" applyBorder="1" applyAlignment="1" applyProtection="1">
      <alignment horizontal="left"/>
    </xf>
    <xf numFmtId="49" fontId="5" fillId="3" borderId="3" xfId="0" applyNumberFormat="1" applyFont="1" applyFill="1" applyBorder="1" applyAlignment="1" applyProtection="1">
      <alignment horizontal="left"/>
    </xf>
    <xf numFmtId="0" fontId="5" fillId="3" borderId="4" xfId="0" applyNumberFormat="1" applyFont="1" applyFill="1" applyBorder="1" applyAlignment="1" applyProtection="1">
      <alignment horizontal="left"/>
    </xf>
    <xf numFmtId="1" fontId="5" fillId="3" borderId="5" xfId="0" applyNumberFormat="1" applyFont="1" applyFill="1" applyBorder="1" applyAlignment="1" applyProtection="1">
      <alignment horizontal="left"/>
    </xf>
    <xf numFmtId="1" fontId="5" fillId="3" borderId="3" xfId="0" applyNumberFormat="1" applyFont="1" applyFill="1" applyBorder="1" applyAlignment="1" applyProtection="1">
      <alignment horizontal="left"/>
    </xf>
    <xf numFmtId="49" fontId="5" fillId="3" borderId="4" xfId="0" applyNumberFormat="1" applyFont="1" applyFill="1" applyBorder="1" applyAlignment="1" applyProtection="1">
      <alignment horizontal="left"/>
      <protection locked="0"/>
    </xf>
    <xf numFmtId="49" fontId="5" fillId="3" borderId="5" xfId="0" applyNumberFormat="1" applyFont="1" applyFill="1" applyBorder="1" applyAlignment="1" applyProtection="1">
      <alignment horizontal="left"/>
      <protection locked="0"/>
    </xf>
    <xf numFmtId="49" fontId="5" fillId="3" borderId="3" xfId="0" applyNumberFormat="1" applyFont="1" applyFill="1" applyBorder="1" applyAlignment="1" applyProtection="1">
      <alignment horizontal="left"/>
      <protection locked="0"/>
    </xf>
    <xf numFmtId="0" fontId="0" fillId="0" borderId="0" xfId="0" applyNumberFormat="1" applyAlignment="1" applyProtection="1">
      <alignment horizontal="left"/>
    </xf>
    <xf numFmtId="0" fontId="0" fillId="0" borderId="1" xfId="0" applyBorder="1" applyAlignment="1" applyProtection="1">
      <alignment horizontal="center"/>
      <protection locked="0"/>
    </xf>
    <xf numFmtId="49" fontId="3" fillId="0" borderId="7" xfId="1" applyNumberFormat="1" applyBorder="1" applyAlignment="1" applyProtection="1">
      <protection locked="0"/>
    </xf>
    <xf numFmtId="49" fontId="0" fillId="0" borderId="0" xfId="0" applyNumberFormat="1" applyBorder="1" applyProtection="1">
      <protection locked="0"/>
    </xf>
    <xf numFmtId="49" fontId="4" fillId="2" borderId="4" xfId="0" applyNumberFormat="1" applyFont="1" applyFill="1" applyBorder="1" applyAlignment="1" applyProtection="1">
      <alignment horizontal="center"/>
    </xf>
    <xf numFmtId="49" fontId="4" fillId="2" borderId="5" xfId="0" applyNumberFormat="1" applyFont="1" applyFill="1" applyBorder="1" applyAlignment="1" applyProtection="1">
      <alignment horizontal="center"/>
    </xf>
    <xf numFmtId="49" fontId="4" fillId="2" borderId="3" xfId="0" applyNumberFormat="1" applyFont="1" applyFill="1" applyBorder="1" applyAlignment="1" applyProtection="1">
      <alignment horizontal="center"/>
    </xf>
    <xf numFmtId="49" fontId="4" fillId="2" borderId="20" xfId="0" applyNumberFormat="1" applyFont="1" applyFill="1" applyBorder="1" applyAlignment="1" applyProtection="1">
      <alignment horizontal="center"/>
      <protection locked="0"/>
    </xf>
    <xf numFmtId="0" fontId="4" fillId="2" borderId="6" xfId="0" applyNumberFormat="1" applyFont="1" applyFill="1" applyBorder="1" applyAlignment="1" applyProtection="1">
      <alignment horizontal="center" vertical="center" wrapText="1"/>
    </xf>
    <xf numFmtId="0" fontId="4" fillId="2" borderId="0" xfId="0" applyNumberFormat="1" applyFont="1" applyFill="1" applyBorder="1" applyAlignment="1" applyProtection="1">
      <alignment horizontal="center" vertical="center" wrapText="1"/>
    </xf>
    <xf numFmtId="0" fontId="4" fillId="2" borderId="9" xfId="0" applyFont="1" applyFill="1" applyBorder="1" applyAlignment="1" applyProtection="1">
      <alignment horizontal="center"/>
      <protection locked="0"/>
    </xf>
    <xf numFmtId="0" fontId="4" fillId="2" borderId="10" xfId="0" applyFont="1" applyFill="1" applyBorder="1" applyAlignment="1" applyProtection="1">
      <alignment horizontal="center"/>
      <protection locked="0"/>
    </xf>
    <xf numFmtId="49" fontId="4" fillId="2" borderId="0" xfId="0" applyNumberFormat="1" applyFont="1" applyFill="1" applyBorder="1" applyAlignment="1" applyProtection="1">
      <alignment horizontal="center"/>
      <protection locked="0"/>
    </xf>
    <xf numFmtId="49" fontId="4" fillId="2" borderId="6" xfId="0" applyNumberFormat="1" applyFont="1" applyFill="1" applyBorder="1" applyAlignment="1" applyProtection="1">
      <alignment horizontal="center"/>
      <protection locked="0"/>
    </xf>
    <xf numFmtId="0" fontId="68" fillId="0" borderId="0" xfId="0" applyFont="1" applyProtection="1"/>
    <xf numFmtId="49" fontId="3" fillId="3" borderId="4" xfId="1" applyNumberFormat="1" applyFill="1" applyBorder="1" applyAlignment="1" applyProtection="1">
      <alignment horizontal="left"/>
    </xf>
    <xf numFmtId="49" fontId="0" fillId="0" borderId="0" xfId="0" applyNumberFormat="1" applyAlignment="1" applyProtection="1">
      <alignment horizontal="left"/>
    </xf>
    <xf numFmtId="0" fontId="4" fillId="2" borderId="4" xfId="0" applyNumberFormat="1" applyFont="1" applyFill="1" applyBorder="1" applyAlignment="1" applyProtection="1">
      <alignment horizontal="center"/>
    </xf>
    <xf numFmtId="0" fontId="4" fillId="2" borderId="5" xfId="0" applyNumberFormat="1" applyFont="1" applyFill="1" applyBorder="1" applyAlignment="1" applyProtection="1">
      <alignment horizontal="center"/>
    </xf>
    <xf numFmtId="0" fontId="4" fillId="2" borderId="7" xfId="0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</xf>
    <xf numFmtId="0" fontId="0" fillId="0" borderId="7" xfId="0" applyBorder="1" applyProtection="1">
      <protection locked="0"/>
    </xf>
    <xf numFmtId="0" fontId="0" fillId="0" borderId="0" xfId="0" applyBorder="1" applyProtection="1">
      <protection locked="0"/>
    </xf>
    <xf numFmtId="49" fontId="7" fillId="0" borderId="7" xfId="0" applyNumberFormat="1" applyFont="1" applyBorder="1" applyProtection="1"/>
    <xf numFmtId="49" fontId="7" fillId="0" borderId="0" xfId="0" applyNumberFormat="1" applyFont="1" applyProtection="1"/>
    <xf numFmtId="0" fontId="8" fillId="2" borderId="1" xfId="0" applyFont="1" applyFill="1" applyBorder="1" applyAlignment="1">
      <alignment horizontal="center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3" xfId="0" applyFont="1" applyBorder="1" applyAlignment="1" applyProtection="1">
      <alignment horizontal="left"/>
      <protection locked="0"/>
    </xf>
    <xf numFmtId="0" fontId="8" fillId="2" borderId="1" xfId="0" applyFont="1" applyFill="1" applyBorder="1" applyAlignment="1" applyProtection="1">
      <alignment horizontal="center"/>
      <protection locked="0"/>
    </xf>
    <xf numFmtId="0" fontId="2" fillId="2" borderId="1" xfId="0" applyFont="1" applyFill="1" applyBorder="1" applyAlignment="1" applyProtection="1">
      <alignment horizontal="center"/>
      <protection locked="0"/>
    </xf>
  </cellXfs>
  <cellStyles count="530">
    <cellStyle name="=C:\WINNT\SYSTEM32\COMMAND.COM" xfId="9"/>
    <cellStyle name="=C:\WINNT\SYSTEM32\COMMAND.COM 2" xfId="10"/>
    <cellStyle name="20% - Énfasis1 2" xfId="11"/>
    <cellStyle name="20% - Énfasis2 2" xfId="12"/>
    <cellStyle name="20% - Énfasis3 2" xfId="13"/>
    <cellStyle name="20% - Énfasis4 2" xfId="14"/>
    <cellStyle name="20% - Énfasis5 2" xfId="15"/>
    <cellStyle name="20% - Énfasis6 2" xfId="16"/>
    <cellStyle name="40% - Énfasis1 2" xfId="17"/>
    <cellStyle name="40% - Énfasis2 2" xfId="18"/>
    <cellStyle name="40% - Énfasis3 2" xfId="19"/>
    <cellStyle name="40% - Énfasis4 2" xfId="20"/>
    <cellStyle name="40% - Énfasis5 2" xfId="21"/>
    <cellStyle name="40% - Énfasis6 2" xfId="22"/>
    <cellStyle name="60% - Énfasis1 2" xfId="23"/>
    <cellStyle name="60% - Énfasis2 2" xfId="24"/>
    <cellStyle name="60% - Énfasis3 2" xfId="25"/>
    <cellStyle name="60% - Énfasis4 2" xfId="26"/>
    <cellStyle name="60% - Énfasis5 2" xfId="27"/>
    <cellStyle name="60% - Énfasis6 2" xfId="28"/>
    <cellStyle name="Amount [.0]" xfId="29"/>
    <cellStyle name="Amount [.0MM]" xfId="30"/>
    <cellStyle name="Amount [0]" xfId="31"/>
    <cellStyle name="Amount [0MM]" xfId="32"/>
    <cellStyle name="Buena 2" xfId="33"/>
    <cellStyle name="Calc Currency (0)" xfId="34"/>
    <cellStyle name="Calc Currency (2)" xfId="35"/>
    <cellStyle name="Calc Percent (0)" xfId="36"/>
    <cellStyle name="Calc Percent (1)" xfId="37"/>
    <cellStyle name="Calc Percent (2)" xfId="38"/>
    <cellStyle name="Calc Units (0)" xfId="39"/>
    <cellStyle name="Calc Units (1)" xfId="40"/>
    <cellStyle name="Calc Units (2)" xfId="41"/>
    <cellStyle name="Cálculo 2" xfId="42"/>
    <cellStyle name="Celda de comprobación 2" xfId="43"/>
    <cellStyle name="Celda vinculada 2" xfId="44"/>
    <cellStyle name="Comma  - Style1" xfId="45"/>
    <cellStyle name="Comma  - Style2" xfId="46"/>
    <cellStyle name="Comma  - Style3" xfId="47"/>
    <cellStyle name="Comma  - Style4" xfId="48"/>
    <cellStyle name="Comma  - Style5" xfId="49"/>
    <cellStyle name="Comma  - Style6" xfId="50"/>
    <cellStyle name="Comma  - Style7" xfId="51"/>
    <cellStyle name="Comma  - Style8" xfId="52"/>
    <cellStyle name="Comma [00]" xfId="53"/>
    <cellStyle name="Comma 2" xfId="54"/>
    <cellStyle name="Comma 2 2" xfId="55"/>
    <cellStyle name="Comma_Balanza Diciembre 2005 Propietaria (Ultima)" xfId="56"/>
    <cellStyle name="Currency [.0]" xfId="57"/>
    <cellStyle name="Currency [.00]" xfId="58"/>
    <cellStyle name="Currency [.0MM]" xfId="59"/>
    <cellStyle name="Currency [00]" xfId="60"/>
    <cellStyle name="Currency [0MM]" xfId="61"/>
    <cellStyle name="Date" xfId="62"/>
    <cellStyle name="Date Short" xfId="63"/>
    <cellStyle name="decimal" xfId="64"/>
    <cellStyle name="DELTA" xfId="65"/>
    <cellStyle name="Encabezado 4 2" xfId="66"/>
    <cellStyle name="Énfasis1 2" xfId="67"/>
    <cellStyle name="Énfasis2 2" xfId="68"/>
    <cellStyle name="Énfasis3 2" xfId="69"/>
    <cellStyle name="Énfasis4 2" xfId="70"/>
    <cellStyle name="Énfasis5 2" xfId="71"/>
    <cellStyle name="Énfasis6 2" xfId="72"/>
    <cellStyle name="Enter Currency (0)" xfId="73"/>
    <cellStyle name="Enter Currency (2)" xfId="74"/>
    <cellStyle name="Enter Units (0)" xfId="75"/>
    <cellStyle name="Enter Units (1)" xfId="76"/>
    <cellStyle name="Enter Units (2)" xfId="77"/>
    <cellStyle name="Entrada 2" xfId="78"/>
    <cellStyle name="Estilo 1" xfId="79"/>
    <cellStyle name="Euro" xfId="80"/>
    <cellStyle name="Fixed" xfId="81"/>
    <cellStyle name="gpocmex" xfId="82"/>
    <cellStyle name="Header1" xfId="83"/>
    <cellStyle name="Header2" xfId="84"/>
    <cellStyle name="Heading" xfId="85"/>
    <cellStyle name="Heading1" xfId="86"/>
    <cellStyle name="Heading2" xfId="87"/>
    <cellStyle name="Hipervínculo" xfId="1" builtinId="8"/>
    <cellStyle name="Hipervínculo 2 2" xfId="89"/>
    <cellStyle name="Hipervínculo 2 3" xfId="475"/>
    <cellStyle name="Hipervínculo 2 4" xfId="477"/>
    <cellStyle name="Hipervínculo 2 5" xfId="474"/>
    <cellStyle name="Hipervínculo 2 6" xfId="476"/>
    <cellStyle name="Hipervínculo 3" xfId="90"/>
    <cellStyle name="Hipervínculo 4" xfId="88"/>
    <cellStyle name="Incorrecto 2" xfId="91"/>
    <cellStyle name="Link Currency (0)" xfId="92"/>
    <cellStyle name="Link Currency (2)" xfId="93"/>
    <cellStyle name="Link Units (0)" xfId="94"/>
    <cellStyle name="Link Units (1)" xfId="95"/>
    <cellStyle name="Link Units (2)" xfId="96"/>
    <cellStyle name="Millares" xfId="2" builtinId="3"/>
    <cellStyle name="Millares 2" xfId="6"/>
    <cellStyle name="Millares 2 10" xfId="504"/>
    <cellStyle name="Millares 2 11" xfId="507"/>
    <cellStyle name="Millares 2 12" xfId="516"/>
    <cellStyle name="Millares 2 13" xfId="522"/>
    <cellStyle name="Millares 2 2" xfId="98"/>
    <cellStyle name="Millares 2 2 2" xfId="99"/>
    <cellStyle name="Millares 2 2 3" xfId="100"/>
    <cellStyle name="Millares 2 3" xfId="97"/>
    <cellStyle name="Millares 2 4" xfId="442"/>
    <cellStyle name="Millares 2 4 2" xfId="448"/>
    <cellStyle name="Millares 2 4 3" xfId="466"/>
    <cellStyle name="Millares 2 4 4" xfId="457"/>
    <cellStyle name="Millares 2 4 5" xfId="460"/>
    <cellStyle name="Millares 2 5" xfId="445"/>
    <cellStyle name="Millares 2 5 2" xfId="451"/>
    <cellStyle name="Millares 2 5 3" xfId="469"/>
    <cellStyle name="Millares 2 5 4" xfId="454"/>
    <cellStyle name="Millares 2 5 5" xfId="463"/>
    <cellStyle name="Millares 2 6" xfId="444"/>
    <cellStyle name="Millares 2 6 2" xfId="450"/>
    <cellStyle name="Millares 2 6 3" xfId="468"/>
    <cellStyle name="Millares 2 6 4" xfId="455"/>
    <cellStyle name="Millares 2 6 5" xfId="462"/>
    <cellStyle name="Millares 2 7" xfId="485"/>
    <cellStyle name="Millares 2 8" xfId="495"/>
    <cellStyle name="Millares 2 9" xfId="499"/>
    <cellStyle name="Millares 3" xfId="7"/>
    <cellStyle name="Millares 3 2" xfId="102"/>
    <cellStyle name="Millares 3 3" xfId="101"/>
    <cellStyle name="Millares 4" xfId="8"/>
    <cellStyle name="Millares 4 2" xfId="104"/>
    <cellStyle name="Millares 4 2 2" xfId="105"/>
    <cellStyle name="Millares 4 3" xfId="106"/>
    <cellStyle name="Millares 4 4" xfId="103"/>
    <cellStyle name="Millares 5" xfId="107"/>
    <cellStyle name="Millares 5 2" xfId="108"/>
    <cellStyle name="Millares 5 3" xfId="497"/>
    <cellStyle name="Millares 5 4" xfId="500"/>
    <cellStyle name="Millares 5 5" xfId="502"/>
    <cellStyle name="Millares 5 6" xfId="510"/>
    <cellStyle name="Millares 5 7" xfId="514"/>
    <cellStyle name="Millares 5 8" xfId="520"/>
    <cellStyle name="Millares 5 9" xfId="526"/>
    <cellStyle name="Millares 6" xfId="109"/>
    <cellStyle name="Millares 6 2" xfId="498"/>
    <cellStyle name="Millares 6 3" xfId="501"/>
    <cellStyle name="Millares 6 4" xfId="503"/>
    <cellStyle name="Millares 6 5" xfId="511"/>
    <cellStyle name="Millares 6 6" xfId="515"/>
    <cellStyle name="Millares 6 7" xfId="521"/>
    <cellStyle name="Millares 6 8" xfId="527"/>
    <cellStyle name="Millares 7" xfId="110"/>
    <cellStyle name="Millares 8" xfId="440"/>
    <cellStyle name="Millares 9" xfId="529"/>
    <cellStyle name="Moeda [0]_14-2" xfId="111"/>
    <cellStyle name="Moeda_14-2" xfId="112"/>
    <cellStyle name="Moneda 10" xfId="4"/>
    <cellStyle name="Moneda 2" xfId="113"/>
    <cellStyle name="Moneda 2 2" xfId="479"/>
    <cellStyle name="Moneda 2 3" xfId="478"/>
    <cellStyle name="Moneda 2 4" xfId="480"/>
    <cellStyle name="Moneda 2 5" xfId="481"/>
    <cellStyle name="Moneda 2 6" xfId="483"/>
    <cellStyle name="Moneda 2 7" xfId="482"/>
    <cellStyle name="Moneda 3" xfId="471"/>
    <cellStyle name="Neutral 2" xfId="491"/>
    <cellStyle name="No-definido" xfId="114"/>
    <cellStyle name="Normal" xfId="0" builtinId="0"/>
    <cellStyle name="Normal - Style1" xfId="115"/>
    <cellStyle name="Normal - Style2" xfId="116"/>
    <cellStyle name="Normal - Style3" xfId="117"/>
    <cellStyle name="Normal - Style4" xfId="118"/>
    <cellStyle name="Normal - Style5" xfId="119"/>
    <cellStyle name="Normal - Style6" xfId="120"/>
    <cellStyle name="Normal - Style7" xfId="121"/>
    <cellStyle name="Normal - Style8" xfId="122"/>
    <cellStyle name="Normal 10" xfId="123"/>
    <cellStyle name="Normal 11" xfId="528"/>
    <cellStyle name="Normal 2" xfId="5"/>
    <cellStyle name="Normal 2 10" xfId="125"/>
    <cellStyle name="Normal 2 10 10" xfId="126"/>
    <cellStyle name="Normal 2 10 11" xfId="127"/>
    <cellStyle name="Normal 2 10 12" xfId="128"/>
    <cellStyle name="Normal 2 10 13" xfId="129"/>
    <cellStyle name="Normal 2 10 14" xfId="130"/>
    <cellStyle name="Normal 2 10 15" xfId="131"/>
    <cellStyle name="Normal 2 10 16" xfId="132"/>
    <cellStyle name="Normal 2 10 17" xfId="133"/>
    <cellStyle name="Normal 2 10 18" xfId="134"/>
    <cellStyle name="Normal 2 10 19" xfId="135"/>
    <cellStyle name="Normal 2 10 2" xfId="136"/>
    <cellStyle name="Normal 2 10 20" xfId="137"/>
    <cellStyle name="Normal 2 10 21" xfId="138"/>
    <cellStyle name="Normal 2 10 22" xfId="139"/>
    <cellStyle name="Normal 2 10 23" xfId="140"/>
    <cellStyle name="Normal 2 10 24" xfId="141"/>
    <cellStyle name="Normal 2 10 25" xfId="142"/>
    <cellStyle name="Normal 2 10 26" xfId="143"/>
    <cellStyle name="Normal 2 10 27" xfId="144"/>
    <cellStyle name="Normal 2 10 28" xfId="145"/>
    <cellStyle name="Normal 2 10 3" xfId="146"/>
    <cellStyle name="Normal 2 10 4" xfId="147"/>
    <cellStyle name="Normal 2 10 5" xfId="148"/>
    <cellStyle name="Normal 2 10 6" xfId="149"/>
    <cellStyle name="Normal 2 10 7" xfId="150"/>
    <cellStyle name="Normal 2 10 8" xfId="151"/>
    <cellStyle name="Normal 2 10 9" xfId="152"/>
    <cellStyle name="Normal 2 11" xfId="153"/>
    <cellStyle name="Normal 2 11 10" xfId="154"/>
    <cellStyle name="Normal 2 11 11" xfId="155"/>
    <cellStyle name="Normal 2 11 12" xfId="156"/>
    <cellStyle name="Normal 2 11 13" xfId="157"/>
    <cellStyle name="Normal 2 11 14" xfId="158"/>
    <cellStyle name="Normal 2 11 15" xfId="159"/>
    <cellStyle name="Normal 2 11 16" xfId="160"/>
    <cellStyle name="Normal 2 11 17" xfId="161"/>
    <cellStyle name="Normal 2 11 18" xfId="162"/>
    <cellStyle name="Normal 2 11 19" xfId="163"/>
    <cellStyle name="Normal 2 11 2" xfId="164"/>
    <cellStyle name="Normal 2 11 20" xfId="165"/>
    <cellStyle name="Normal 2 11 21" xfId="166"/>
    <cellStyle name="Normal 2 11 22" xfId="167"/>
    <cellStyle name="Normal 2 11 23" xfId="168"/>
    <cellStyle name="Normal 2 11 24" xfId="169"/>
    <cellStyle name="Normal 2 11 25" xfId="170"/>
    <cellStyle name="Normal 2 11 26" xfId="171"/>
    <cellStyle name="Normal 2 11 27" xfId="172"/>
    <cellStyle name="Normal 2 11 28" xfId="173"/>
    <cellStyle name="Normal 2 11 3" xfId="174"/>
    <cellStyle name="Normal 2 11 4" xfId="175"/>
    <cellStyle name="Normal 2 11 5" xfId="176"/>
    <cellStyle name="Normal 2 11 6" xfId="177"/>
    <cellStyle name="Normal 2 11 7" xfId="178"/>
    <cellStyle name="Normal 2 11 8" xfId="179"/>
    <cellStyle name="Normal 2 11 9" xfId="180"/>
    <cellStyle name="Normal 2 12" xfId="181"/>
    <cellStyle name="Normal 2 12 10" xfId="182"/>
    <cellStyle name="Normal 2 12 11" xfId="183"/>
    <cellStyle name="Normal 2 12 12" xfId="184"/>
    <cellStyle name="Normal 2 12 13" xfId="185"/>
    <cellStyle name="Normal 2 12 14" xfId="186"/>
    <cellStyle name="Normal 2 12 15" xfId="187"/>
    <cellStyle name="Normal 2 12 16" xfId="188"/>
    <cellStyle name="Normal 2 12 17" xfId="189"/>
    <cellStyle name="Normal 2 12 18" xfId="190"/>
    <cellStyle name="Normal 2 12 19" xfId="191"/>
    <cellStyle name="Normal 2 12 2" xfId="192"/>
    <cellStyle name="Normal 2 12 20" xfId="193"/>
    <cellStyle name="Normal 2 12 21" xfId="194"/>
    <cellStyle name="Normal 2 12 22" xfId="195"/>
    <cellStyle name="Normal 2 12 23" xfId="196"/>
    <cellStyle name="Normal 2 12 24" xfId="197"/>
    <cellStyle name="Normal 2 12 25" xfId="198"/>
    <cellStyle name="Normal 2 12 26" xfId="199"/>
    <cellStyle name="Normal 2 12 27" xfId="200"/>
    <cellStyle name="Normal 2 12 28" xfId="201"/>
    <cellStyle name="Normal 2 12 3" xfId="202"/>
    <cellStyle name="Normal 2 12 4" xfId="203"/>
    <cellStyle name="Normal 2 12 5" xfId="204"/>
    <cellStyle name="Normal 2 12 6" xfId="205"/>
    <cellStyle name="Normal 2 12 7" xfId="206"/>
    <cellStyle name="Normal 2 12 8" xfId="207"/>
    <cellStyle name="Normal 2 12 9" xfId="208"/>
    <cellStyle name="Normal 2 13" xfId="209"/>
    <cellStyle name="Normal 2 13 10" xfId="210"/>
    <cellStyle name="Normal 2 13 11" xfId="211"/>
    <cellStyle name="Normal 2 13 12" xfId="212"/>
    <cellStyle name="Normal 2 13 13" xfId="213"/>
    <cellStyle name="Normal 2 13 14" xfId="214"/>
    <cellStyle name="Normal 2 13 15" xfId="215"/>
    <cellStyle name="Normal 2 13 16" xfId="216"/>
    <cellStyle name="Normal 2 13 17" xfId="217"/>
    <cellStyle name="Normal 2 13 18" xfId="218"/>
    <cellStyle name="Normal 2 13 19" xfId="219"/>
    <cellStyle name="Normal 2 13 2" xfId="220"/>
    <cellStyle name="Normal 2 13 20" xfId="221"/>
    <cellStyle name="Normal 2 13 21" xfId="222"/>
    <cellStyle name="Normal 2 13 22" xfId="223"/>
    <cellStyle name="Normal 2 13 23" xfId="224"/>
    <cellStyle name="Normal 2 13 24" xfId="225"/>
    <cellStyle name="Normal 2 13 25" xfId="226"/>
    <cellStyle name="Normal 2 13 26" xfId="227"/>
    <cellStyle name="Normal 2 13 27" xfId="228"/>
    <cellStyle name="Normal 2 13 28" xfId="229"/>
    <cellStyle name="Normal 2 13 3" xfId="230"/>
    <cellStyle name="Normal 2 13 4" xfId="231"/>
    <cellStyle name="Normal 2 13 5" xfId="232"/>
    <cellStyle name="Normal 2 13 6" xfId="233"/>
    <cellStyle name="Normal 2 13 7" xfId="234"/>
    <cellStyle name="Normal 2 13 8" xfId="235"/>
    <cellStyle name="Normal 2 13 9" xfId="236"/>
    <cellStyle name="Normal 2 14" xfId="237"/>
    <cellStyle name="Normal 2 15" xfId="238"/>
    <cellStyle name="Normal 2 16" xfId="239"/>
    <cellStyle name="Normal 2 17" xfId="240"/>
    <cellStyle name="Normal 2 18" xfId="124"/>
    <cellStyle name="Normal 2 19" xfId="441"/>
    <cellStyle name="Normal 2 19 2" xfId="447"/>
    <cellStyle name="Normal 2 19 3" xfId="465"/>
    <cellStyle name="Normal 2 19 4" xfId="458"/>
    <cellStyle name="Normal 2 19 5" xfId="459"/>
    <cellStyle name="Normal 2 2" xfId="241"/>
    <cellStyle name="Normal 2 2 2" xfId="242"/>
    <cellStyle name="Normal 2 20" xfId="446"/>
    <cellStyle name="Normal 2 20 2" xfId="452"/>
    <cellStyle name="Normal 2 20 3" xfId="470"/>
    <cellStyle name="Normal 2 20 4" xfId="453"/>
    <cellStyle name="Normal 2 20 5" xfId="464"/>
    <cellStyle name="Normal 2 21" xfId="443"/>
    <cellStyle name="Normal 2 21 2" xfId="449"/>
    <cellStyle name="Normal 2 21 3" xfId="467"/>
    <cellStyle name="Normal 2 21 4" xfId="456"/>
    <cellStyle name="Normal 2 21 5" xfId="461"/>
    <cellStyle name="Normal 2 22" xfId="472"/>
    <cellStyle name="Normal 2 23" xfId="473"/>
    <cellStyle name="Normal 2 24" xfId="492"/>
    <cellStyle name="Normal 2 25" xfId="489"/>
    <cellStyle name="Normal 2 26" xfId="490"/>
    <cellStyle name="Normal 2 27" xfId="508"/>
    <cellStyle name="Normal 2 28" xfId="512"/>
    <cellStyle name="Normal 2 29" xfId="518"/>
    <cellStyle name="Normal 2 3" xfId="243"/>
    <cellStyle name="Normal 2 30" xfId="524"/>
    <cellStyle name="Normal 2 4" xfId="244"/>
    <cellStyle name="Normal 2 5" xfId="245"/>
    <cellStyle name="Normal 2 6" xfId="246"/>
    <cellStyle name="Normal 2 7" xfId="247"/>
    <cellStyle name="Normal 2 8" xfId="248"/>
    <cellStyle name="Normal 2 9" xfId="249"/>
    <cellStyle name="Normal 25" xfId="250"/>
    <cellStyle name="Normal 25 2" xfId="251"/>
    <cellStyle name="Normal 27" xfId="252"/>
    <cellStyle name="Normal 27 2" xfId="253"/>
    <cellStyle name="Normal 28" xfId="254"/>
    <cellStyle name="Normal 28 2" xfId="255"/>
    <cellStyle name="Normal 29" xfId="256"/>
    <cellStyle name="Normal 29 2" xfId="257"/>
    <cellStyle name="Normal 3" xfId="3"/>
    <cellStyle name="Normal 3 10" xfId="258"/>
    <cellStyle name="Normal 3 11" xfId="259"/>
    <cellStyle name="Normal 3 12" xfId="260"/>
    <cellStyle name="Normal 3 13" xfId="261"/>
    <cellStyle name="Normal 3 14" xfId="262"/>
    <cellStyle name="Normal 3 15" xfId="263"/>
    <cellStyle name="Normal 3 16" xfId="264"/>
    <cellStyle name="Normal 3 17" xfId="265"/>
    <cellStyle name="Normal 3 18" xfId="266"/>
    <cellStyle name="Normal 3 19" xfId="267"/>
    <cellStyle name="Normal 3 2" xfId="268"/>
    <cellStyle name="Normal 3 2 2" xfId="269"/>
    <cellStyle name="Normal 3 20" xfId="270"/>
    <cellStyle name="Normal 3 21" xfId="271"/>
    <cellStyle name="Normal 3 22" xfId="272"/>
    <cellStyle name="Normal 3 23" xfId="273"/>
    <cellStyle name="Normal 3 24" xfId="274"/>
    <cellStyle name="Normal 3 25" xfId="275"/>
    <cellStyle name="Normal 3 26" xfId="276"/>
    <cellStyle name="Normal 3 27" xfId="277"/>
    <cellStyle name="Normal 3 28" xfId="278"/>
    <cellStyle name="Normal 3 29" xfId="279"/>
    <cellStyle name="Normal 3 3" xfId="280"/>
    <cellStyle name="Normal 3 30" xfId="281"/>
    <cellStyle name="Normal 3 31" xfId="282"/>
    <cellStyle name="Normal 3 32" xfId="283"/>
    <cellStyle name="Normal 3 33" xfId="486"/>
    <cellStyle name="Normal 3 34" xfId="494"/>
    <cellStyle name="Normal 3 35" xfId="487"/>
    <cellStyle name="Normal 3 36" xfId="505"/>
    <cellStyle name="Normal 3 37" xfId="506"/>
    <cellStyle name="Normal 3 38" xfId="517"/>
    <cellStyle name="Normal 3 39" xfId="523"/>
    <cellStyle name="Normal 3 4" xfId="284"/>
    <cellStyle name="Normal 3 5" xfId="285"/>
    <cellStyle name="Normal 3 6" xfId="286"/>
    <cellStyle name="Normal 3 7" xfId="287"/>
    <cellStyle name="Normal 3 8" xfId="288"/>
    <cellStyle name="Normal 3 9" xfId="289"/>
    <cellStyle name="Normal 30" xfId="290"/>
    <cellStyle name="Normal 30 2" xfId="291"/>
    <cellStyle name="Normal 4" xfId="292"/>
    <cellStyle name="Normal 4 10" xfId="293"/>
    <cellStyle name="Normal 4 11" xfId="294"/>
    <cellStyle name="Normal 4 12" xfId="295"/>
    <cellStyle name="Normal 4 13" xfId="296"/>
    <cellStyle name="Normal 4 14" xfId="297"/>
    <cellStyle name="Normal 4 15" xfId="298"/>
    <cellStyle name="Normal 4 16" xfId="299"/>
    <cellStyle name="Normal 4 17" xfId="300"/>
    <cellStyle name="Normal 4 18" xfId="301"/>
    <cellStyle name="Normal 4 19" xfId="302"/>
    <cellStyle name="Normal 4 2" xfId="303"/>
    <cellStyle name="Normal 4 2 2" xfId="304"/>
    <cellStyle name="Normal 4 20" xfId="305"/>
    <cellStyle name="Normal 4 21" xfId="306"/>
    <cellStyle name="Normal 4 22" xfId="307"/>
    <cellStyle name="Normal 4 23" xfId="308"/>
    <cellStyle name="Normal 4 24" xfId="309"/>
    <cellStyle name="Normal 4 25" xfId="310"/>
    <cellStyle name="Normal 4 26" xfId="311"/>
    <cellStyle name="Normal 4 27" xfId="312"/>
    <cellStyle name="Normal 4 28" xfId="313"/>
    <cellStyle name="Normal 4 29" xfId="314"/>
    <cellStyle name="Normal 4 3" xfId="315"/>
    <cellStyle name="Normal 4 30" xfId="316"/>
    <cellStyle name="Normal 4 31" xfId="317"/>
    <cellStyle name="Normal 4 32" xfId="318"/>
    <cellStyle name="Normal 4 33" xfId="319"/>
    <cellStyle name="Normal 4 4" xfId="320"/>
    <cellStyle name="Normal 4 5" xfId="321"/>
    <cellStyle name="Normal 4 6" xfId="322"/>
    <cellStyle name="Normal 4 7" xfId="323"/>
    <cellStyle name="Normal 4 8" xfId="324"/>
    <cellStyle name="Normal 4 9" xfId="325"/>
    <cellStyle name="Normal 45" xfId="326"/>
    <cellStyle name="Normal 45 2" xfId="327"/>
    <cellStyle name="Normal 5" xfId="328"/>
    <cellStyle name="Normal 5 10" xfId="329"/>
    <cellStyle name="Normal 5 11" xfId="330"/>
    <cellStyle name="Normal 5 12" xfId="331"/>
    <cellStyle name="Normal 5 13" xfId="332"/>
    <cellStyle name="Normal 5 14" xfId="333"/>
    <cellStyle name="Normal 5 15" xfId="334"/>
    <cellStyle name="Normal 5 16" xfId="335"/>
    <cellStyle name="Normal 5 17" xfId="336"/>
    <cellStyle name="Normal 5 18" xfId="337"/>
    <cellStyle name="Normal 5 19" xfId="338"/>
    <cellStyle name="Normal 5 2" xfId="339"/>
    <cellStyle name="Normal 5 20" xfId="340"/>
    <cellStyle name="Normal 5 21" xfId="341"/>
    <cellStyle name="Normal 5 22" xfId="342"/>
    <cellStyle name="Normal 5 23" xfId="343"/>
    <cellStyle name="Normal 5 24" xfId="344"/>
    <cellStyle name="Normal 5 25" xfId="345"/>
    <cellStyle name="Normal 5 26" xfId="346"/>
    <cellStyle name="Normal 5 27" xfId="347"/>
    <cellStyle name="Normal 5 28" xfId="348"/>
    <cellStyle name="Normal 5 29" xfId="349"/>
    <cellStyle name="Normal 5 3" xfId="350"/>
    <cellStyle name="Normal 5 30" xfId="351"/>
    <cellStyle name="Normal 5 31" xfId="352"/>
    <cellStyle name="Normal 5 4" xfId="353"/>
    <cellStyle name="Normal 5 5" xfId="354"/>
    <cellStyle name="Normal 5 6" xfId="355"/>
    <cellStyle name="Normal 5 7" xfId="356"/>
    <cellStyle name="Normal 5 8" xfId="357"/>
    <cellStyle name="Normal 5 9" xfId="358"/>
    <cellStyle name="Normal 50" xfId="359"/>
    <cellStyle name="Normal 50 2" xfId="360"/>
    <cellStyle name="Normal 6" xfId="361"/>
    <cellStyle name="Normal 6 10" xfId="362"/>
    <cellStyle name="Normal 6 11" xfId="363"/>
    <cellStyle name="Normal 6 12" xfId="364"/>
    <cellStyle name="Normal 6 13" xfId="365"/>
    <cellStyle name="Normal 6 14" xfId="366"/>
    <cellStyle name="Normal 6 15" xfId="367"/>
    <cellStyle name="Normal 6 16" xfId="368"/>
    <cellStyle name="Normal 6 17" xfId="369"/>
    <cellStyle name="Normal 6 18" xfId="370"/>
    <cellStyle name="Normal 6 19" xfId="371"/>
    <cellStyle name="Normal 6 2" xfId="372"/>
    <cellStyle name="Normal 6 20" xfId="373"/>
    <cellStyle name="Normal 6 21" xfId="374"/>
    <cellStyle name="Normal 6 22" xfId="375"/>
    <cellStyle name="Normal 6 23" xfId="376"/>
    <cellStyle name="Normal 6 3" xfId="377"/>
    <cellStyle name="Normal 6 4" xfId="378"/>
    <cellStyle name="Normal 6 5" xfId="379"/>
    <cellStyle name="Normal 6 6" xfId="380"/>
    <cellStyle name="Normal 6 7" xfId="381"/>
    <cellStyle name="Normal 6 8" xfId="382"/>
    <cellStyle name="Normal 6 9" xfId="383"/>
    <cellStyle name="Normal 7" xfId="384"/>
    <cellStyle name="Normal 7 10" xfId="385"/>
    <cellStyle name="Normal 7 11" xfId="386"/>
    <cellStyle name="Normal 7 12" xfId="387"/>
    <cellStyle name="Normal 7 13" xfId="388"/>
    <cellStyle name="Normal 7 14" xfId="389"/>
    <cellStyle name="Normal 7 15" xfId="390"/>
    <cellStyle name="Normal 7 16" xfId="391"/>
    <cellStyle name="Normal 7 17" xfId="392"/>
    <cellStyle name="Normal 7 18" xfId="393"/>
    <cellStyle name="Normal 7 19" xfId="394"/>
    <cellStyle name="Normal 7 2" xfId="395"/>
    <cellStyle name="Normal 7 20" xfId="396"/>
    <cellStyle name="Normal 7 21" xfId="397"/>
    <cellStyle name="Normal 7 22" xfId="398"/>
    <cellStyle name="Normal 7 23" xfId="399"/>
    <cellStyle name="Normal 7 24" xfId="400"/>
    <cellStyle name="Normal 7 3" xfId="401"/>
    <cellStyle name="Normal 7 4" xfId="402"/>
    <cellStyle name="Normal 7 5" xfId="403"/>
    <cellStyle name="Normal 7 6" xfId="404"/>
    <cellStyle name="Normal 7 7" xfId="405"/>
    <cellStyle name="Normal 7 8" xfId="406"/>
    <cellStyle name="Normal 7 9" xfId="407"/>
    <cellStyle name="Normal 8" xfId="408"/>
    <cellStyle name="Normal 8 2" xfId="409"/>
    <cellStyle name="Normal 9" xfId="410"/>
    <cellStyle name="Notas 2" xfId="411"/>
    <cellStyle name="Notas 2 2" xfId="493"/>
    <cellStyle name="Notas 2 3" xfId="488"/>
    <cellStyle name="Notas 2 4" xfId="484"/>
    <cellStyle name="Notas 2 5" xfId="509"/>
    <cellStyle name="Notas 2 6" xfId="513"/>
    <cellStyle name="Notas 2 7" xfId="519"/>
    <cellStyle name="Notas 2 8" xfId="525"/>
    <cellStyle name="Percent (0)" xfId="412"/>
    <cellStyle name="Percent [.0]" xfId="413"/>
    <cellStyle name="Percent [0]" xfId="414"/>
    <cellStyle name="Percent [00]" xfId="415"/>
    <cellStyle name="Percent_RESULTS" xfId="416"/>
    <cellStyle name="Porcentual 2" xfId="417"/>
    <cellStyle name="PrePop Currency (0)" xfId="418"/>
    <cellStyle name="PrePop Currency (2)" xfId="419"/>
    <cellStyle name="PrePop Units (0)" xfId="420"/>
    <cellStyle name="PrePop Units (1)" xfId="421"/>
    <cellStyle name="PrePop Units (2)" xfId="422"/>
    <cellStyle name="Product Header" xfId="423"/>
    <cellStyle name="Salida 2" xfId="424"/>
    <cellStyle name="Separador de milhares [0]_14-2" xfId="425"/>
    <cellStyle name="Separador de milhares_14-2" xfId="426"/>
    <cellStyle name="Short $" xfId="427"/>
    <cellStyle name="Standard_FF_AUS_B.XLS" xfId="428"/>
    <cellStyle name="Style 1" xfId="429"/>
    <cellStyle name="Text Indent A" xfId="430"/>
    <cellStyle name="Text Indent B" xfId="431"/>
    <cellStyle name="Text Indent C" xfId="432"/>
    <cellStyle name="Texto de advertencia 2" xfId="433"/>
    <cellStyle name="Texto explicativo 2" xfId="434"/>
    <cellStyle name="Tickmark" xfId="435"/>
    <cellStyle name="Título 1 2" xfId="436"/>
    <cellStyle name="Título 2 2" xfId="437"/>
    <cellStyle name="Título 3 2" xfId="438"/>
    <cellStyle name="Título 4" xfId="439"/>
    <cellStyle name="Total 2" xfId="496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21.emf"/><Relationship Id="rId18" Type="http://schemas.openxmlformats.org/officeDocument/2006/relationships/image" Target="../media/image2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12" Type="http://schemas.openxmlformats.org/officeDocument/2006/relationships/image" Target="../media/image20.emf"/><Relationship Id="rId17" Type="http://schemas.openxmlformats.org/officeDocument/2006/relationships/image" Target="../media/image25.emf"/><Relationship Id="rId2" Type="http://schemas.openxmlformats.org/officeDocument/2006/relationships/image" Target="../media/image10.emf"/><Relationship Id="rId16" Type="http://schemas.openxmlformats.org/officeDocument/2006/relationships/image" Target="../media/image24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11" Type="http://schemas.openxmlformats.org/officeDocument/2006/relationships/image" Target="../media/image19.emf"/><Relationship Id="rId5" Type="http://schemas.openxmlformats.org/officeDocument/2006/relationships/image" Target="../media/image13.emf"/><Relationship Id="rId15" Type="http://schemas.openxmlformats.org/officeDocument/2006/relationships/image" Target="../media/image23.emf"/><Relationship Id="rId10" Type="http://schemas.openxmlformats.org/officeDocument/2006/relationships/image" Target="../media/image18.emf"/><Relationship Id="rId4" Type="http://schemas.openxmlformats.org/officeDocument/2006/relationships/image" Target="../media/image12.emf"/><Relationship Id="rId9" Type="http://schemas.openxmlformats.org/officeDocument/2006/relationships/image" Target="../media/image17.emf"/><Relationship Id="rId1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9525</xdr:rowOff>
    </xdr:from>
    <xdr:to>
      <xdr:col>2</xdr:col>
      <xdr:colOff>866775</xdr:colOff>
      <xdr:row>19</xdr:row>
      <xdr:rowOff>13155</xdr:rowOff>
    </xdr:to>
    <xdr:cxnSp macro="">
      <xdr:nvCxnSpPr>
        <xdr:cNvPr id="9" name="8 Conector recto"/>
        <xdr:cNvCxnSpPr/>
      </xdr:nvCxnSpPr>
      <xdr:spPr>
        <a:xfrm flipV="1">
          <a:off x="0" y="3667125"/>
          <a:ext cx="2781300" cy="3630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1114425</xdr:colOff>
      <xdr:row>19</xdr:row>
      <xdr:rowOff>28575</xdr:rowOff>
    </xdr:from>
    <xdr:to>
      <xdr:col>5</xdr:col>
      <xdr:colOff>457200</xdr:colOff>
      <xdr:row>19</xdr:row>
      <xdr:rowOff>28576</xdr:rowOff>
    </xdr:to>
    <xdr:cxnSp macro="">
      <xdr:nvCxnSpPr>
        <xdr:cNvPr id="10" name="9 Conector recto"/>
        <xdr:cNvCxnSpPr/>
      </xdr:nvCxnSpPr>
      <xdr:spPr>
        <a:xfrm flipV="1">
          <a:off x="3028950" y="3657600"/>
          <a:ext cx="3438525" cy="1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5737</xdr:colOff>
      <xdr:row>16</xdr:row>
      <xdr:rowOff>65112</xdr:rowOff>
    </xdr:from>
    <xdr:to>
      <xdr:col>0</xdr:col>
      <xdr:colOff>5747</xdr:colOff>
      <xdr:row>19</xdr:row>
      <xdr:rowOff>1812</xdr:rowOff>
    </xdr:to>
    <xdr:cxnSp macro="">
      <xdr:nvCxnSpPr>
        <xdr:cNvPr id="14" name="13 Conector recto"/>
        <xdr:cNvCxnSpPr/>
      </xdr:nvCxnSpPr>
      <xdr:spPr>
        <a:xfrm rot="16200000" flipH="1">
          <a:off x="-205496" y="3448170"/>
          <a:ext cx="422475" cy="10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466725</xdr:colOff>
      <xdr:row>19</xdr:row>
      <xdr:rowOff>0</xdr:rowOff>
    </xdr:from>
    <xdr:to>
      <xdr:col>18</xdr:col>
      <xdr:colOff>466725</xdr:colOff>
      <xdr:row>19</xdr:row>
      <xdr:rowOff>1</xdr:rowOff>
    </xdr:to>
    <xdr:cxnSp macro="">
      <xdr:nvCxnSpPr>
        <xdr:cNvPr id="25" name="24 Conector recto"/>
        <xdr:cNvCxnSpPr/>
      </xdr:nvCxnSpPr>
      <xdr:spPr>
        <a:xfrm>
          <a:off x="7000875" y="3629025"/>
          <a:ext cx="1543050" cy="1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485774</xdr:colOff>
      <xdr:row>15</xdr:row>
      <xdr:rowOff>47628</xdr:rowOff>
    </xdr:from>
    <xdr:to>
      <xdr:col>9</xdr:col>
      <xdr:colOff>4548</xdr:colOff>
      <xdr:row>18</xdr:row>
      <xdr:rowOff>189138</xdr:rowOff>
    </xdr:to>
    <xdr:cxnSp macro="">
      <xdr:nvCxnSpPr>
        <xdr:cNvPr id="27" name="26 Conector recto"/>
        <xdr:cNvCxnSpPr/>
      </xdr:nvCxnSpPr>
      <xdr:spPr>
        <a:xfrm rot="16200000" flipH="1">
          <a:off x="7918231" y="3321271"/>
          <a:ext cx="684435" cy="4549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</xdr:colOff>
      <xdr:row>20</xdr:row>
      <xdr:rowOff>9527</xdr:rowOff>
    </xdr:from>
    <xdr:to>
      <xdr:col>9</xdr:col>
      <xdr:colOff>4550</xdr:colOff>
      <xdr:row>28</xdr:row>
      <xdr:rowOff>0</xdr:rowOff>
    </xdr:to>
    <xdr:cxnSp macro="">
      <xdr:nvCxnSpPr>
        <xdr:cNvPr id="32" name="31 Conector recto"/>
        <xdr:cNvCxnSpPr/>
      </xdr:nvCxnSpPr>
      <xdr:spPr>
        <a:xfrm rot="16200000" flipH="1">
          <a:off x="6846671" y="5373910"/>
          <a:ext cx="2179861" cy="4546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523875</xdr:colOff>
      <xdr:row>22</xdr:row>
      <xdr:rowOff>3</xdr:rowOff>
    </xdr:from>
    <xdr:to>
      <xdr:col>10</xdr:col>
      <xdr:colOff>1</xdr:colOff>
      <xdr:row>25</xdr:row>
      <xdr:rowOff>180978</xdr:rowOff>
    </xdr:to>
    <xdr:cxnSp macro="">
      <xdr:nvCxnSpPr>
        <xdr:cNvPr id="34" name="33 Conector recto"/>
        <xdr:cNvCxnSpPr/>
      </xdr:nvCxnSpPr>
      <xdr:spPr>
        <a:xfrm rot="5400000">
          <a:off x="8424863" y="4471990"/>
          <a:ext cx="723900" cy="9526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476255</xdr:colOff>
      <xdr:row>20</xdr:row>
      <xdr:rowOff>19053</xdr:rowOff>
    </xdr:from>
    <xdr:to>
      <xdr:col>18</xdr:col>
      <xdr:colOff>480801</xdr:colOff>
      <xdr:row>28</xdr:row>
      <xdr:rowOff>8164</xdr:rowOff>
    </xdr:to>
    <xdr:cxnSp macro="">
      <xdr:nvCxnSpPr>
        <xdr:cNvPr id="38" name="37 Conector recto"/>
        <xdr:cNvCxnSpPr/>
      </xdr:nvCxnSpPr>
      <xdr:spPr>
        <a:xfrm rot="16200000" flipH="1">
          <a:off x="13423685" y="4454748"/>
          <a:ext cx="1351186" cy="4546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4547</xdr:colOff>
      <xdr:row>20</xdr:row>
      <xdr:rowOff>9525</xdr:rowOff>
    </xdr:from>
    <xdr:to>
      <xdr:col>0</xdr:col>
      <xdr:colOff>9525</xdr:colOff>
      <xdr:row>28</xdr:row>
      <xdr:rowOff>0</xdr:rowOff>
    </xdr:to>
    <xdr:cxnSp macro="">
      <xdr:nvCxnSpPr>
        <xdr:cNvPr id="39" name="38 Conector recto"/>
        <xdr:cNvCxnSpPr/>
      </xdr:nvCxnSpPr>
      <xdr:spPr>
        <a:xfrm rot="5400000">
          <a:off x="-669239" y="4445686"/>
          <a:ext cx="1352550" cy="4978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28</xdr:row>
      <xdr:rowOff>0</xdr:rowOff>
    </xdr:from>
    <xdr:to>
      <xdr:col>18</xdr:col>
      <xdr:colOff>495300</xdr:colOff>
      <xdr:row>28</xdr:row>
      <xdr:rowOff>1588</xdr:rowOff>
    </xdr:to>
    <xdr:cxnSp macro="">
      <xdr:nvCxnSpPr>
        <xdr:cNvPr id="41" name="40 Conector recto"/>
        <xdr:cNvCxnSpPr/>
      </xdr:nvCxnSpPr>
      <xdr:spPr>
        <a:xfrm>
          <a:off x="0" y="5124450"/>
          <a:ext cx="14116050" cy="1588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29</xdr:row>
      <xdr:rowOff>0</xdr:rowOff>
    </xdr:from>
    <xdr:to>
      <xdr:col>18</xdr:col>
      <xdr:colOff>485775</xdr:colOff>
      <xdr:row>29</xdr:row>
      <xdr:rowOff>1</xdr:rowOff>
    </xdr:to>
    <xdr:cxnSp macro="">
      <xdr:nvCxnSpPr>
        <xdr:cNvPr id="17" name="16 Conector recto"/>
        <xdr:cNvCxnSpPr/>
      </xdr:nvCxnSpPr>
      <xdr:spPr>
        <a:xfrm flipV="1">
          <a:off x="0" y="5238750"/>
          <a:ext cx="14106525" cy="1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31</xdr:row>
      <xdr:rowOff>0</xdr:rowOff>
    </xdr:from>
    <xdr:to>
      <xdr:col>18</xdr:col>
      <xdr:colOff>495300</xdr:colOff>
      <xdr:row>31</xdr:row>
      <xdr:rowOff>9525</xdr:rowOff>
    </xdr:to>
    <xdr:cxnSp macro="">
      <xdr:nvCxnSpPr>
        <xdr:cNvPr id="19" name="18 Conector recto"/>
        <xdr:cNvCxnSpPr/>
      </xdr:nvCxnSpPr>
      <xdr:spPr>
        <a:xfrm>
          <a:off x="0" y="5572125"/>
          <a:ext cx="14116050" cy="9525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530341</xdr:colOff>
      <xdr:row>60</xdr:row>
      <xdr:rowOff>8506</xdr:rowOff>
    </xdr:from>
    <xdr:to>
      <xdr:col>8</xdr:col>
      <xdr:colOff>0</xdr:colOff>
      <xdr:row>68</xdr:row>
      <xdr:rowOff>2</xdr:rowOff>
    </xdr:to>
    <xdr:cxnSp macro="">
      <xdr:nvCxnSpPr>
        <xdr:cNvPr id="48" name="47 Conector recto"/>
        <xdr:cNvCxnSpPr/>
      </xdr:nvCxnSpPr>
      <xdr:spPr>
        <a:xfrm rot="16200000" flipH="1">
          <a:off x="7217910" y="10665962"/>
          <a:ext cx="667771" cy="3059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495302</xdr:colOff>
      <xdr:row>29</xdr:row>
      <xdr:rowOff>9523</xdr:rowOff>
    </xdr:from>
    <xdr:to>
      <xdr:col>18</xdr:col>
      <xdr:colOff>504825</xdr:colOff>
      <xdr:row>67</xdr:row>
      <xdr:rowOff>142874</xdr:rowOff>
    </xdr:to>
    <xdr:cxnSp macro="">
      <xdr:nvCxnSpPr>
        <xdr:cNvPr id="49" name="48 Conector recto"/>
        <xdr:cNvCxnSpPr/>
      </xdr:nvCxnSpPr>
      <xdr:spPr>
        <a:xfrm rot="16200000" flipH="1">
          <a:off x="11253788" y="8110537"/>
          <a:ext cx="5734051" cy="9523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60</xdr:row>
      <xdr:rowOff>0</xdr:rowOff>
    </xdr:from>
    <xdr:to>
      <xdr:col>18</xdr:col>
      <xdr:colOff>495300</xdr:colOff>
      <xdr:row>60</xdr:row>
      <xdr:rowOff>1</xdr:rowOff>
    </xdr:to>
    <xdr:cxnSp macro="">
      <xdr:nvCxnSpPr>
        <xdr:cNvPr id="53" name="52 Conector recto"/>
        <xdr:cNvCxnSpPr/>
      </xdr:nvCxnSpPr>
      <xdr:spPr>
        <a:xfrm flipV="1">
          <a:off x="0" y="10325100"/>
          <a:ext cx="8572500" cy="1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68</xdr:row>
      <xdr:rowOff>0</xdr:rowOff>
    </xdr:from>
    <xdr:to>
      <xdr:col>18</xdr:col>
      <xdr:colOff>495300</xdr:colOff>
      <xdr:row>68</xdr:row>
      <xdr:rowOff>1588</xdr:rowOff>
    </xdr:to>
    <xdr:cxnSp macro="">
      <xdr:nvCxnSpPr>
        <xdr:cNvPr id="59" name="58 Conector recto"/>
        <xdr:cNvCxnSpPr/>
      </xdr:nvCxnSpPr>
      <xdr:spPr>
        <a:xfrm>
          <a:off x="0" y="11001375"/>
          <a:ext cx="14116050" cy="1588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2907196</xdr:colOff>
      <xdr:row>61</xdr:row>
      <xdr:rowOff>0</xdr:rowOff>
    </xdr:from>
    <xdr:to>
      <xdr:col>5</xdr:col>
      <xdr:colOff>902805</xdr:colOff>
      <xdr:row>61</xdr:row>
      <xdr:rowOff>0</xdr:rowOff>
    </xdr:to>
    <xdr:cxnSp macro="">
      <xdr:nvCxnSpPr>
        <xdr:cNvPr id="64" name="63 Conector recto"/>
        <xdr:cNvCxnSpPr/>
      </xdr:nvCxnSpPr>
      <xdr:spPr>
        <a:xfrm rot="10800000">
          <a:off x="6775174" y="13633174"/>
          <a:ext cx="1192696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514350</xdr:colOff>
      <xdr:row>66</xdr:row>
      <xdr:rowOff>76200</xdr:rowOff>
    </xdr:from>
    <xdr:to>
      <xdr:col>18</xdr:col>
      <xdr:colOff>495300</xdr:colOff>
      <xdr:row>66</xdr:row>
      <xdr:rowOff>77788</xdr:rowOff>
    </xdr:to>
    <xdr:cxnSp macro="">
      <xdr:nvCxnSpPr>
        <xdr:cNvPr id="69" name="68 Conector recto"/>
        <xdr:cNvCxnSpPr/>
      </xdr:nvCxnSpPr>
      <xdr:spPr>
        <a:xfrm>
          <a:off x="7534275" y="10744200"/>
          <a:ext cx="6581775" cy="1588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3312</xdr:colOff>
      <xdr:row>74</xdr:row>
      <xdr:rowOff>211050</xdr:rowOff>
    </xdr:from>
    <xdr:to>
      <xdr:col>8</xdr:col>
      <xdr:colOff>3315</xdr:colOff>
      <xdr:row>77</xdr:row>
      <xdr:rowOff>16500</xdr:rowOff>
    </xdr:to>
    <xdr:cxnSp macro="">
      <xdr:nvCxnSpPr>
        <xdr:cNvPr id="94" name="93 Conector recto"/>
        <xdr:cNvCxnSpPr/>
      </xdr:nvCxnSpPr>
      <xdr:spPr>
        <a:xfrm rot="5400000">
          <a:off x="5772046" y="11037587"/>
          <a:ext cx="404164" cy="3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12246</xdr:colOff>
      <xdr:row>68</xdr:row>
      <xdr:rowOff>212930</xdr:rowOff>
    </xdr:from>
    <xdr:to>
      <xdr:col>8</xdr:col>
      <xdr:colOff>12246</xdr:colOff>
      <xdr:row>73</xdr:row>
      <xdr:rowOff>176780</xdr:rowOff>
    </xdr:to>
    <xdr:cxnSp macro="">
      <xdr:nvCxnSpPr>
        <xdr:cNvPr id="97" name="96 Conector recto"/>
        <xdr:cNvCxnSpPr/>
      </xdr:nvCxnSpPr>
      <xdr:spPr>
        <a:xfrm rot="16200000" flipH="1">
          <a:off x="5701778" y="10329455"/>
          <a:ext cx="562564" cy="0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19051</xdr:colOff>
      <xdr:row>22</xdr:row>
      <xdr:rowOff>19052</xdr:rowOff>
    </xdr:from>
    <xdr:to>
      <xdr:col>18</xdr:col>
      <xdr:colOff>28578</xdr:colOff>
      <xdr:row>25</xdr:row>
      <xdr:rowOff>180978</xdr:rowOff>
    </xdr:to>
    <xdr:cxnSp macro="">
      <xdr:nvCxnSpPr>
        <xdr:cNvPr id="43" name="42 Conector recto"/>
        <xdr:cNvCxnSpPr/>
      </xdr:nvCxnSpPr>
      <xdr:spPr>
        <a:xfrm rot="5400000">
          <a:off x="7748589" y="4481514"/>
          <a:ext cx="704851" cy="9527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29</xdr:row>
      <xdr:rowOff>9527</xdr:rowOff>
    </xdr:from>
    <xdr:to>
      <xdr:col>2</xdr:col>
      <xdr:colOff>28579</xdr:colOff>
      <xdr:row>30</xdr:row>
      <xdr:rowOff>161924</xdr:rowOff>
    </xdr:to>
    <xdr:cxnSp macro="">
      <xdr:nvCxnSpPr>
        <xdr:cNvPr id="51" name="50 Conector recto"/>
        <xdr:cNvCxnSpPr/>
      </xdr:nvCxnSpPr>
      <xdr:spPr>
        <a:xfrm rot="5400000">
          <a:off x="1781178" y="5781674"/>
          <a:ext cx="323847" cy="4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</xdr:colOff>
      <xdr:row>29</xdr:row>
      <xdr:rowOff>19051</xdr:rowOff>
    </xdr:from>
    <xdr:to>
      <xdr:col>13</xdr:col>
      <xdr:colOff>19050</xdr:colOff>
      <xdr:row>60</xdr:row>
      <xdr:rowOff>1</xdr:rowOff>
    </xdr:to>
    <xdr:cxnSp macro="">
      <xdr:nvCxnSpPr>
        <xdr:cNvPr id="44" name="43 Conector recto"/>
        <xdr:cNvCxnSpPr/>
      </xdr:nvCxnSpPr>
      <xdr:spPr>
        <a:xfrm rot="5400000">
          <a:off x="8253413" y="7786688"/>
          <a:ext cx="5067300" cy="9525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</xdr:colOff>
      <xdr:row>28</xdr:row>
      <xdr:rowOff>103910</xdr:rowOff>
    </xdr:from>
    <xdr:to>
      <xdr:col>17</xdr:col>
      <xdr:colOff>8671</xdr:colOff>
      <xdr:row>60</xdr:row>
      <xdr:rowOff>4</xdr:rowOff>
    </xdr:to>
    <xdr:cxnSp macro="">
      <xdr:nvCxnSpPr>
        <xdr:cNvPr id="46" name="45 Conector recto"/>
        <xdr:cNvCxnSpPr/>
      </xdr:nvCxnSpPr>
      <xdr:spPr>
        <a:xfrm rot="5400000">
          <a:off x="5147841" y="7416513"/>
          <a:ext cx="3532912" cy="8659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854767</xdr:colOff>
      <xdr:row>29</xdr:row>
      <xdr:rowOff>9524</xdr:rowOff>
    </xdr:from>
    <xdr:to>
      <xdr:col>15</xdr:col>
      <xdr:colOff>1</xdr:colOff>
      <xdr:row>59</xdr:row>
      <xdr:rowOff>219074</xdr:rowOff>
    </xdr:to>
    <xdr:cxnSp macro="">
      <xdr:nvCxnSpPr>
        <xdr:cNvPr id="54" name="53 Conector recto"/>
        <xdr:cNvCxnSpPr/>
      </xdr:nvCxnSpPr>
      <xdr:spPr>
        <a:xfrm rot="5400000">
          <a:off x="9395171" y="7785445"/>
          <a:ext cx="5076825" cy="2484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37235</xdr:colOff>
      <xdr:row>30</xdr:row>
      <xdr:rowOff>0</xdr:rowOff>
    </xdr:from>
    <xdr:to>
      <xdr:col>16</xdr:col>
      <xdr:colOff>847725</xdr:colOff>
      <xdr:row>30</xdr:row>
      <xdr:rowOff>354</xdr:rowOff>
    </xdr:to>
    <xdr:cxnSp macro="">
      <xdr:nvCxnSpPr>
        <xdr:cNvPr id="55" name="54 Conector recto"/>
        <xdr:cNvCxnSpPr/>
      </xdr:nvCxnSpPr>
      <xdr:spPr>
        <a:xfrm flipV="1">
          <a:off x="10810010" y="5410200"/>
          <a:ext cx="2277340" cy="354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258004</xdr:colOff>
      <xdr:row>30</xdr:row>
      <xdr:rowOff>229</xdr:rowOff>
    </xdr:from>
    <xdr:to>
      <xdr:col>16</xdr:col>
      <xdr:colOff>272624</xdr:colOff>
      <xdr:row>59</xdr:row>
      <xdr:rowOff>210379</xdr:rowOff>
    </xdr:to>
    <xdr:cxnSp macro="">
      <xdr:nvCxnSpPr>
        <xdr:cNvPr id="61" name="60 Conector recto"/>
        <xdr:cNvCxnSpPr/>
      </xdr:nvCxnSpPr>
      <xdr:spPr>
        <a:xfrm rot="5400000">
          <a:off x="10051951" y="7856107"/>
          <a:ext cx="4905975" cy="1462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36058</xdr:colOff>
      <xdr:row>51</xdr:row>
      <xdr:rowOff>126785</xdr:rowOff>
    </xdr:from>
    <xdr:to>
      <xdr:col>18</xdr:col>
      <xdr:colOff>447676</xdr:colOff>
      <xdr:row>59</xdr:row>
      <xdr:rowOff>65915</xdr:rowOff>
    </xdr:to>
    <xdr:pic>
      <xdr:nvPicPr>
        <xdr:cNvPr id="52" name="51 Imagen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058" y="8937410"/>
          <a:ext cx="8488818" cy="1234530"/>
        </a:xfrm>
        <a:prstGeom prst="rect">
          <a:avLst/>
        </a:prstGeom>
      </xdr:spPr>
    </xdr:pic>
    <xdr:clientData/>
  </xdr:twoCellAnchor>
  <xdr:twoCellAnchor>
    <xdr:from>
      <xdr:col>3</xdr:col>
      <xdr:colOff>7147</xdr:colOff>
      <xdr:row>29</xdr:row>
      <xdr:rowOff>7146</xdr:rowOff>
    </xdr:from>
    <xdr:to>
      <xdr:col>3</xdr:col>
      <xdr:colOff>8505</xdr:colOff>
      <xdr:row>31</xdr:row>
      <xdr:rowOff>0</xdr:rowOff>
    </xdr:to>
    <xdr:cxnSp macro="">
      <xdr:nvCxnSpPr>
        <xdr:cNvPr id="65" name="64 Conector recto"/>
        <xdr:cNvCxnSpPr/>
      </xdr:nvCxnSpPr>
      <xdr:spPr>
        <a:xfrm rot="16200000" flipH="1">
          <a:off x="997917" y="5751912"/>
          <a:ext cx="333032" cy="1358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6466</xdr:colOff>
      <xdr:row>28</xdr:row>
      <xdr:rowOff>108519</xdr:rowOff>
    </xdr:from>
    <xdr:to>
      <xdr:col>8</xdr:col>
      <xdr:colOff>7824</xdr:colOff>
      <xdr:row>30</xdr:row>
      <xdr:rowOff>160904</xdr:rowOff>
    </xdr:to>
    <xdr:cxnSp macro="">
      <xdr:nvCxnSpPr>
        <xdr:cNvPr id="73" name="72 Conector recto"/>
        <xdr:cNvCxnSpPr/>
      </xdr:nvCxnSpPr>
      <xdr:spPr>
        <a:xfrm rot="16200000" flipH="1">
          <a:off x="4577616" y="5742727"/>
          <a:ext cx="333032" cy="1358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684</xdr:colOff>
      <xdr:row>28</xdr:row>
      <xdr:rowOff>107838</xdr:rowOff>
    </xdr:from>
    <xdr:to>
      <xdr:col>9</xdr:col>
      <xdr:colOff>2042</xdr:colOff>
      <xdr:row>30</xdr:row>
      <xdr:rowOff>160223</xdr:rowOff>
    </xdr:to>
    <xdr:cxnSp macro="">
      <xdr:nvCxnSpPr>
        <xdr:cNvPr id="74" name="73 Conector recto"/>
        <xdr:cNvCxnSpPr/>
      </xdr:nvCxnSpPr>
      <xdr:spPr>
        <a:xfrm rot="16200000" flipH="1">
          <a:off x="8242870" y="5400677"/>
          <a:ext cx="338135" cy="1358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1123157</xdr:colOff>
      <xdr:row>12</xdr:row>
      <xdr:rowOff>38099</xdr:rowOff>
    </xdr:from>
    <xdr:to>
      <xdr:col>2</xdr:col>
      <xdr:colOff>1123951</xdr:colOff>
      <xdr:row>19</xdr:row>
      <xdr:rowOff>33046</xdr:rowOff>
    </xdr:to>
    <xdr:cxnSp macro="">
      <xdr:nvCxnSpPr>
        <xdr:cNvPr id="57" name="56 Conector recto"/>
        <xdr:cNvCxnSpPr/>
      </xdr:nvCxnSpPr>
      <xdr:spPr>
        <a:xfrm rot="5400000">
          <a:off x="2431005" y="3054601"/>
          <a:ext cx="1214147" cy="794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9529</xdr:colOff>
      <xdr:row>28</xdr:row>
      <xdr:rowOff>109541</xdr:rowOff>
    </xdr:from>
    <xdr:to>
      <xdr:col>6</xdr:col>
      <xdr:colOff>10887</xdr:colOff>
      <xdr:row>30</xdr:row>
      <xdr:rowOff>161926</xdr:rowOff>
    </xdr:to>
    <xdr:cxnSp macro="">
      <xdr:nvCxnSpPr>
        <xdr:cNvPr id="68" name="67 Conector recto"/>
        <xdr:cNvCxnSpPr/>
      </xdr:nvCxnSpPr>
      <xdr:spPr>
        <a:xfrm rot="16200000" flipH="1">
          <a:off x="4575065" y="5773855"/>
          <a:ext cx="338135" cy="1358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63</xdr:row>
      <xdr:rowOff>9525</xdr:rowOff>
    </xdr:from>
    <xdr:to>
      <xdr:col>18</xdr:col>
      <xdr:colOff>504825</xdr:colOff>
      <xdr:row>63</xdr:row>
      <xdr:rowOff>11113</xdr:rowOff>
    </xdr:to>
    <xdr:cxnSp macro="">
      <xdr:nvCxnSpPr>
        <xdr:cNvPr id="87" name="86 Conector recto"/>
        <xdr:cNvCxnSpPr/>
      </xdr:nvCxnSpPr>
      <xdr:spPr>
        <a:xfrm>
          <a:off x="7553325" y="10506075"/>
          <a:ext cx="6572250" cy="1588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1771651</xdr:colOff>
      <xdr:row>5</xdr:row>
      <xdr:rowOff>57156</xdr:rowOff>
    </xdr:from>
    <xdr:to>
      <xdr:col>3</xdr:col>
      <xdr:colOff>1771655</xdr:colOff>
      <xdr:row>11</xdr:row>
      <xdr:rowOff>19049</xdr:rowOff>
    </xdr:to>
    <xdr:cxnSp macro="">
      <xdr:nvCxnSpPr>
        <xdr:cNvPr id="58" name="57 Conector recto"/>
        <xdr:cNvCxnSpPr/>
      </xdr:nvCxnSpPr>
      <xdr:spPr>
        <a:xfrm rot="5400000">
          <a:off x="4381506" y="1809751"/>
          <a:ext cx="914393" cy="4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</xdr:colOff>
      <xdr:row>77</xdr:row>
      <xdr:rowOff>211049</xdr:rowOff>
    </xdr:from>
    <xdr:to>
      <xdr:col>8</xdr:col>
      <xdr:colOff>3317</xdr:colOff>
      <xdr:row>79</xdr:row>
      <xdr:rowOff>177361</xdr:rowOff>
    </xdr:to>
    <xdr:cxnSp macro="">
      <xdr:nvCxnSpPr>
        <xdr:cNvPr id="83" name="82 Conector recto"/>
        <xdr:cNvCxnSpPr/>
      </xdr:nvCxnSpPr>
      <xdr:spPr>
        <a:xfrm rot="5400000">
          <a:off x="5789339" y="11625832"/>
          <a:ext cx="367019" cy="3316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6349</xdr:colOff>
      <xdr:row>29</xdr:row>
      <xdr:rowOff>22227</xdr:rowOff>
    </xdr:from>
    <xdr:to>
      <xdr:col>1</xdr:col>
      <xdr:colOff>9524</xdr:colOff>
      <xdr:row>31</xdr:row>
      <xdr:rowOff>0</xdr:rowOff>
    </xdr:to>
    <xdr:cxnSp macro="">
      <xdr:nvCxnSpPr>
        <xdr:cNvPr id="81" name="80 Conector recto"/>
        <xdr:cNvCxnSpPr/>
      </xdr:nvCxnSpPr>
      <xdr:spPr>
        <a:xfrm rot="16200000" flipH="1">
          <a:off x="671513" y="5786438"/>
          <a:ext cx="311148" cy="3175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22</xdr:row>
      <xdr:rowOff>28575</xdr:rowOff>
    </xdr:from>
    <xdr:to>
      <xdr:col>17</xdr:col>
      <xdr:colOff>19050</xdr:colOff>
      <xdr:row>26</xdr:row>
      <xdr:rowOff>1</xdr:rowOff>
    </xdr:to>
    <xdr:cxnSp macro="">
      <xdr:nvCxnSpPr>
        <xdr:cNvPr id="111" name="110 Conector recto"/>
        <xdr:cNvCxnSpPr/>
      </xdr:nvCxnSpPr>
      <xdr:spPr>
        <a:xfrm rot="5400000">
          <a:off x="7215187" y="4491038"/>
          <a:ext cx="704851" cy="9525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466725</xdr:colOff>
      <xdr:row>20</xdr:row>
      <xdr:rowOff>38103</xdr:rowOff>
    </xdr:from>
    <xdr:to>
      <xdr:col>7</xdr:col>
      <xdr:colOff>3</xdr:colOff>
      <xdr:row>27</xdr:row>
      <xdr:rowOff>104776</xdr:rowOff>
    </xdr:to>
    <xdr:cxnSp macro="">
      <xdr:nvCxnSpPr>
        <xdr:cNvPr id="112" name="111 Conector recto"/>
        <xdr:cNvCxnSpPr/>
      </xdr:nvCxnSpPr>
      <xdr:spPr>
        <a:xfrm rot="5400000">
          <a:off x="6353178" y="4448175"/>
          <a:ext cx="1314448" cy="19053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476250</xdr:colOff>
      <xdr:row>15</xdr:row>
      <xdr:rowOff>28575</xdr:rowOff>
    </xdr:from>
    <xdr:to>
      <xdr:col>7</xdr:col>
      <xdr:colOff>0</xdr:colOff>
      <xdr:row>19</xdr:row>
      <xdr:rowOff>1</xdr:rowOff>
    </xdr:to>
    <xdr:cxnSp macro="">
      <xdr:nvCxnSpPr>
        <xdr:cNvPr id="132" name="131 Conector recto"/>
        <xdr:cNvCxnSpPr/>
      </xdr:nvCxnSpPr>
      <xdr:spPr>
        <a:xfrm rot="5400000">
          <a:off x="6662737" y="3271838"/>
          <a:ext cx="704851" cy="9525"/>
        </a:xfrm>
        <a:prstGeom prst="line">
          <a:avLst/>
        </a:prstGeom>
        <a:ln w="158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1133474</xdr:colOff>
      <xdr:row>5</xdr:row>
      <xdr:rowOff>19050</xdr:rowOff>
    </xdr:from>
    <xdr:to>
      <xdr:col>3</xdr:col>
      <xdr:colOff>1762124</xdr:colOff>
      <xdr:row>11</xdr:row>
      <xdr:rowOff>38100</xdr:rowOff>
    </xdr:to>
    <xdr:pic>
      <xdr:nvPicPr>
        <xdr:cNvPr id="45" name="Picture 2"/>
        <xdr:cNvPicPr>
          <a:picLocks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 rot="16200000">
          <a:off x="3452812" y="909637"/>
          <a:ext cx="971550" cy="178117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control" Target="../activeX/activeX16.xml"/><Relationship Id="rId18" Type="http://schemas.openxmlformats.org/officeDocument/2006/relationships/control" Target="../activeX/activeX21.xml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24.xml"/><Relationship Id="rId7" Type="http://schemas.openxmlformats.org/officeDocument/2006/relationships/control" Target="../activeX/activeX10.xml"/><Relationship Id="rId12" Type="http://schemas.openxmlformats.org/officeDocument/2006/relationships/control" Target="../activeX/activeX15.xml"/><Relationship Id="rId17" Type="http://schemas.openxmlformats.org/officeDocument/2006/relationships/control" Target="../activeX/activeX20.xml"/><Relationship Id="rId2" Type="http://schemas.openxmlformats.org/officeDocument/2006/relationships/printerSettings" Target="../printerSettings/printerSettings4.bin"/><Relationship Id="rId16" Type="http://schemas.openxmlformats.org/officeDocument/2006/relationships/control" Target="../activeX/activeX19.xml"/><Relationship Id="rId20" Type="http://schemas.openxmlformats.org/officeDocument/2006/relationships/control" Target="../activeX/activeX23.xml"/><Relationship Id="rId1" Type="http://schemas.openxmlformats.org/officeDocument/2006/relationships/hyperlink" Target="mailto:Ropsa123@" TargetMode="External"/><Relationship Id="rId6" Type="http://schemas.openxmlformats.org/officeDocument/2006/relationships/control" Target="../activeX/activeX9.xml"/><Relationship Id="rId11" Type="http://schemas.openxmlformats.org/officeDocument/2006/relationships/control" Target="../activeX/activeX14.xml"/><Relationship Id="rId5" Type="http://schemas.openxmlformats.org/officeDocument/2006/relationships/control" Target="../activeX/activeX8.xml"/><Relationship Id="rId15" Type="http://schemas.openxmlformats.org/officeDocument/2006/relationships/control" Target="../activeX/activeX18.xml"/><Relationship Id="rId10" Type="http://schemas.openxmlformats.org/officeDocument/2006/relationships/control" Target="../activeX/activeX13.xml"/><Relationship Id="rId19" Type="http://schemas.openxmlformats.org/officeDocument/2006/relationships/control" Target="../activeX/activeX22.xml"/><Relationship Id="rId4" Type="http://schemas.openxmlformats.org/officeDocument/2006/relationships/control" Target="../activeX/activeX7.xml"/><Relationship Id="rId9" Type="http://schemas.openxmlformats.org/officeDocument/2006/relationships/control" Target="../activeX/activeX12.xml"/><Relationship Id="rId14" Type="http://schemas.openxmlformats.org/officeDocument/2006/relationships/control" Target="../activeX/activeX1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>
    <pageSetUpPr fitToPage="1"/>
  </sheetPr>
  <dimension ref="A1:AE85"/>
  <sheetViews>
    <sheetView showGridLines="0" tabSelected="1" workbookViewId="0">
      <pane ySplit="5" topLeftCell="A36" activePane="bottomLeft" state="frozen"/>
      <selection activeCell="C1" sqref="C1"/>
      <selection pane="bottomLeft" activeCell="A59" sqref="A59"/>
    </sheetView>
  </sheetViews>
  <sheetFormatPr baseColWidth="10" defaultRowHeight="14.25"/>
  <cols>
    <col min="1" max="1" width="12.28515625" style="51" customWidth="1"/>
    <col min="2" max="2" width="16.42578125" style="51" bestFit="1" customWidth="1"/>
    <col min="3" max="3" width="17.28515625" style="51" customWidth="1"/>
    <col min="4" max="4" width="26.85546875" style="51" customWidth="1"/>
    <col min="5" max="5" width="17.28515625" style="52" customWidth="1"/>
    <col min="6" max="6" width="7.85546875" style="52" customWidth="1"/>
    <col min="7" max="7" width="7.28515625" style="52" customWidth="1"/>
    <col min="8" max="8" width="8" style="53" customWidth="1"/>
    <col min="9" max="9" width="12.85546875" style="54" hidden="1" customWidth="1"/>
    <col min="10" max="10" width="5.140625" style="52" hidden="1" customWidth="1"/>
    <col min="11" max="11" width="12.85546875" style="54" hidden="1" customWidth="1"/>
    <col min="12" max="12" width="4.5703125" style="52" hidden="1" customWidth="1"/>
    <col min="13" max="13" width="12.85546875" style="54" hidden="1" customWidth="1"/>
    <col min="14" max="14" width="4.5703125" style="52" hidden="1" customWidth="1"/>
    <col min="15" max="15" width="12.85546875" style="54" hidden="1" customWidth="1"/>
    <col min="16" max="16" width="4.5703125" style="54" hidden="1" customWidth="1"/>
    <col min="17" max="17" width="12.85546875" style="54" hidden="1" customWidth="1"/>
    <col min="18" max="18" width="7.85546875" style="54" customWidth="1"/>
    <col min="19" max="19" width="7.85546875" style="25" customWidth="1"/>
    <col min="20" max="21" width="11.42578125" style="25"/>
    <col min="22" max="22" width="9.42578125" style="25" customWidth="1"/>
    <col min="23" max="16384" width="11.42578125" style="25"/>
  </cols>
  <sheetData>
    <row r="1" spans="1:31" ht="20.25">
      <c r="A1" s="20"/>
      <c r="B1" s="20"/>
      <c r="C1" s="21"/>
      <c r="D1" s="21"/>
      <c r="E1" s="61" t="s">
        <v>35</v>
      </c>
      <c r="F1" s="211" t="s">
        <v>77</v>
      </c>
      <c r="G1" s="211"/>
      <c r="H1" s="211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3"/>
      <c r="W1" s="23"/>
      <c r="X1" s="23"/>
      <c r="Y1" s="24">
        <f>VLOOKUP(F1,Config!P:R,3,FALSE)</f>
        <v>1</v>
      </c>
      <c r="Z1" s="23"/>
      <c r="AA1" s="136" t="s">
        <v>138</v>
      </c>
      <c r="AB1" s="129"/>
      <c r="AC1" s="129">
        <v>1</v>
      </c>
      <c r="AD1" s="130">
        <f>IF(ISERROR(VLOOKUP(H8,AA1:AC6,3,FALSE)),1,VLOOKUP(H8,AA1:AC6,3,FALSE))</f>
        <v>1</v>
      </c>
    </row>
    <row r="2" spans="1:31" ht="20.25">
      <c r="A2" s="20"/>
      <c r="B2" s="20"/>
      <c r="C2" s="21"/>
      <c r="D2" s="21"/>
      <c r="E2" s="61" t="s">
        <v>36</v>
      </c>
      <c r="F2" s="211"/>
      <c r="G2" s="211"/>
      <c r="H2" s="211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2"/>
      <c r="U2" s="22"/>
      <c r="V2" s="23"/>
      <c r="W2" s="23"/>
      <c r="X2" s="23"/>
      <c r="Y2" s="23"/>
      <c r="Z2" s="23"/>
      <c r="AA2" s="129" t="s">
        <v>139</v>
      </c>
      <c r="AB2" s="129"/>
      <c r="AC2" s="129">
        <v>1</v>
      </c>
      <c r="AD2" s="128"/>
    </row>
    <row r="3" spans="1:31" ht="20.25">
      <c r="A3" s="20"/>
      <c r="B3" s="20"/>
      <c r="C3" s="21"/>
      <c r="D3" s="21"/>
      <c r="E3" s="61" t="s">
        <v>75</v>
      </c>
      <c r="F3" s="211"/>
      <c r="G3" s="211"/>
      <c r="H3" s="211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3"/>
      <c r="W3" s="130"/>
      <c r="X3" s="23"/>
      <c r="Y3" s="23"/>
      <c r="Z3" s="23"/>
      <c r="AA3" s="129" t="s">
        <v>140</v>
      </c>
      <c r="AB3" s="129"/>
      <c r="AC3" s="129">
        <v>2</v>
      </c>
      <c r="AD3" s="128"/>
    </row>
    <row r="4" spans="1:31" ht="20.25">
      <c r="A4" s="20"/>
      <c r="B4" s="20"/>
      <c r="C4" s="21"/>
      <c r="D4" s="21"/>
      <c r="E4" s="61" t="s">
        <v>68</v>
      </c>
      <c r="F4" s="211" t="s">
        <v>70</v>
      </c>
      <c r="G4" s="211"/>
      <c r="H4" s="211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3"/>
      <c r="X4" s="23"/>
      <c r="Y4" s="130" t="str">
        <f>IF(VLOOKUP(F4,Config!J:O,3,FALSE)=1,"",VLOOKUP(F4,Config!J:O,3,FALSE))</f>
        <v/>
      </c>
      <c r="Z4" s="23"/>
      <c r="AA4" s="129" t="s">
        <v>141</v>
      </c>
      <c r="AB4" s="129"/>
      <c r="AC4" s="129">
        <v>2</v>
      </c>
      <c r="AD4" s="128"/>
    </row>
    <row r="5" spans="1:31" ht="21" customHeight="1">
      <c r="A5" s="20"/>
      <c r="B5" s="20"/>
      <c r="C5" s="21"/>
      <c r="D5" s="137"/>
      <c r="E5" s="61" t="s">
        <v>148</v>
      </c>
      <c r="F5" s="211" t="s">
        <v>150</v>
      </c>
      <c r="G5" s="211"/>
      <c r="H5" s="211"/>
      <c r="I5" s="27"/>
      <c r="J5" s="28"/>
      <c r="K5" s="27"/>
      <c r="L5" s="28"/>
      <c r="M5" s="27"/>
      <c r="N5" s="28"/>
      <c r="O5" s="27"/>
      <c r="P5" s="27"/>
      <c r="Q5" s="27"/>
      <c r="R5" s="27"/>
      <c r="S5" s="28"/>
      <c r="T5" s="22"/>
      <c r="U5" s="22"/>
      <c r="V5" s="23"/>
      <c r="X5" s="23"/>
      <c r="Y5" s="130" t="str">
        <f>IF(VLOOKUP(F4,Config!J:P,7,FALSE)=1,"",VLOOKUP(F4,Config!J:P,7,FALSE))</f>
        <v>MXN</v>
      </c>
      <c r="Z5" s="23"/>
      <c r="AA5" s="129" t="s">
        <v>142</v>
      </c>
      <c r="AB5" s="129"/>
      <c r="AC5" s="129">
        <v>2</v>
      </c>
      <c r="AD5" s="128"/>
    </row>
    <row r="6" spans="1:31" s="30" customFormat="1" ht="12.75">
      <c r="A6" s="135"/>
      <c r="B6" s="135"/>
      <c r="C6" s="206"/>
      <c r="D6" s="206"/>
      <c r="E6" s="119" t="s">
        <v>117</v>
      </c>
      <c r="F6" s="119"/>
      <c r="G6" s="119"/>
      <c r="H6" s="119"/>
      <c r="I6" s="119"/>
      <c r="J6" s="119"/>
      <c r="K6" s="119"/>
      <c r="L6" s="119"/>
      <c r="M6" s="119"/>
      <c r="N6" s="119"/>
      <c r="O6" s="119"/>
      <c r="P6" s="119"/>
      <c r="Q6" s="119"/>
      <c r="R6" s="119"/>
      <c r="T6" s="29"/>
      <c r="U6" s="29"/>
      <c r="V6" s="29"/>
      <c r="W6" s="29"/>
      <c r="X6" s="29"/>
      <c r="Y6" s="29"/>
      <c r="Z6" s="29"/>
      <c r="AA6" s="129" t="s">
        <v>143</v>
      </c>
      <c r="AB6" s="129"/>
      <c r="AC6" s="129">
        <v>2</v>
      </c>
      <c r="AD6" s="132"/>
    </row>
    <row r="7" spans="1:31" s="32" customFormat="1" ht="12.75">
      <c r="A7" s="135"/>
      <c r="B7" s="135"/>
      <c r="C7" s="206"/>
      <c r="D7" s="206"/>
      <c r="E7" s="196"/>
      <c r="F7" s="197"/>
      <c r="G7" s="197"/>
      <c r="H7" s="202" t="s">
        <v>137</v>
      </c>
      <c r="I7" s="202"/>
      <c r="J7" s="202"/>
      <c r="K7" s="202"/>
      <c r="L7" s="202"/>
      <c r="M7" s="202"/>
      <c r="N7" s="202"/>
      <c r="O7" s="202"/>
      <c r="P7" s="202"/>
      <c r="Q7" s="202"/>
      <c r="R7" s="202"/>
      <c r="S7" s="202"/>
      <c r="T7" s="31"/>
      <c r="U7" s="31"/>
      <c r="V7" s="31"/>
      <c r="W7" s="31"/>
      <c r="X7" s="31"/>
      <c r="Y7" s="31"/>
      <c r="Z7" s="31"/>
      <c r="AA7" s="31"/>
      <c r="AB7" s="31"/>
      <c r="AC7" s="31"/>
    </row>
    <row r="8" spans="1:31" s="32" customFormat="1" ht="12.75" customHeight="1">
      <c r="A8" s="135"/>
      <c r="B8" s="135"/>
      <c r="C8" s="206"/>
      <c r="D8" s="206"/>
      <c r="E8" s="201" t="s">
        <v>118</v>
      </c>
      <c r="F8" s="201"/>
      <c r="G8" s="120"/>
      <c r="H8" s="203"/>
      <c r="I8" s="203"/>
      <c r="J8" s="203"/>
      <c r="K8" s="203"/>
      <c r="L8" s="203"/>
      <c r="M8" s="203"/>
      <c r="N8" s="203"/>
      <c r="O8" s="203"/>
      <c r="P8" s="203"/>
      <c r="Q8" s="203"/>
      <c r="R8" s="203"/>
      <c r="S8" s="203"/>
      <c r="T8" s="31"/>
      <c r="U8" s="31"/>
      <c r="V8" s="31"/>
      <c r="W8" s="31"/>
      <c r="X8" s="31"/>
      <c r="Y8" s="31"/>
      <c r="Z8" s="31"/>
      <c r="AA8" s="31"/>
      <c r="AB8" s="31"/>
      <c r="AC8" s="31"/>
    </row>
    <row r="9" spans="1:31" s="32" customFormat="1" ht="12.75">
      <c r="A9" s="135"/>
      <c r="B9" s="135"/>
      <c r="C9" s="206"/>
      <c r="D9" s="206"/>
      <c r="E9" s="198"/>
      <c r="F9" s="199"/>
      <c r="G9" s="199"/>
      <c r="H9" s="202" t="str">
        <f>IF(AD1=2,"Numero de Cuenta:","")</f>
        <v/>
      </c>
      <c r="I9" s="202"/>
      <c r="J9" s="202"/>
      <c r="K9" s="202"/>
      <c r="L9" s="202"/>
      <c r="M9" s="202"/>
      <c r="N9" s="202"/>
      <c r="O9" s="202"/>
      <c r="P9" s="202"/>
      <c r="Q9" s="202"/>
      <c r="R9" s="202"/>
      <c r="S9" s="202"/>
      <c r="T9" s="31"/>
      <c r="U9" s="31"/>
      <c r="V9" s="31"/>
      <c r="W9" s="31"/>
      <c r="X9" s="31"/>
      <c r="Y9" s="31"/>
      <c r="Z9" s="31"/>
      <c r="AA9" s="31"/>
      <c r="AB9" s="31"/>
      <c r="AC9" s="31"/>
    </row>
    <row r="10" spans="1:31" s="32" customFormat="1" ht="11.25" customHeight="1">
      <c r="A10" s="135"/>
      <c r="B10" s="135"/>
      <c r="C10" s="126"/>
      <c r="D10" s="126"/>
      <c r="E10" s="121" t="s">
        <v>119</v>
      </c>
      <c r="F10" s="121"/>
      <c r="G10" s="121"/>
      <c r="H10" s="204" t="s">
        <v>95</v>
      </c>
      <c r="I10" s="204"/>
      <c r="J10" s="204"/>
      <c r="K10" s="204"/>
      <c r="L10" s="204"/>
      <c r="M10" s="204"/>
      <c r="N10" s="204"/>
      <c r="O10" s="204"/>
      <c r="P10" s="204"/>
      <c r="Q10" s="204"/>
      <c r="R10" s="204"/>
      <c r="S10" s="204"/>
      <c r="T10" s="31"/>
      <c r="U10" s="31"/>
      <c r="V10" s="31"/>
      <c r="W10" s="31"/>
      <c r="X10" s="31"/>
      <c r="Y10" s="31"/>
      <c r="Z10" s="31"/>
      <c r="AA10" s="31"/>
      <c r="AB10" s="31"/>
      <c r="AC10" s="31"/>
    </row>
    <row r="11" spans="1:31" s="32" customFormat="1" ht="12.75" customHeight="1">
      <c r="A11" s="135"/>
      <c r="B11" s="135"/>
      <c r="C11" s="126"/>
      <c r="D11" s="126"/>
      <c r="E11" s="200" t="s">
        <v>95</v>
      </c>
      <c r="F11" s="200"/>
      <c r="G11" s="200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33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</row>
    <row r="12" spans="1:31" s="32" customFormat="1" ht="12.75">
      <c r="A12" s="135"/>
      <c r="B12" s="135"/>
      <c r="C12" s="12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</row>
    <row r="13" spans="1:31" s="32" customFormat="1" ht="12.75">
      <c r="A13" s="135"/>
      <c r="B13" s="135"/>
      <c r="C13" s="126"/>
      <c r="D13" s="216" t="str">
        <f>"Régimen Fiscal: " &amp; IF(Config!M5&lt;&gt;"",Config!M5,"")</f>
        <v>Régimen Fiscal: Régimen de Consolidación</v>
      </c>
      <c r="E13" s="216"/>
      <c r="F13" s="216"/>
      <c r="G13" s="216"/>
      <c r="H13" s="205" t="s">
        <v>144</v>
      </c>
      <c r="I13" s="205"/>
      <c r="J13" s="205"/>
      <c r="K13" s="205"/>
      <c r="L13" s="205"/>
      <c r="M13" s="205"/>
      <c r="N13" s="205"/>
      <c r="O13" s="205"/>
      <c r="P13" s="205"/>
      <c r="Q13" s="205"/>
      <c r="R13" s="205"/>
      <c r="S13" s="205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</row>
    <row r="14" spans="1:31" s="32" customFormat="1" ht="12.75">
      <c r="A14" s="135"/>
      <c r="B14" s="135"/>
      <c r="C14" s="126"/>
      <c r="D14" s="216" t="s">
        <v>76</v>
      </c>
      <c r="E14" s="216"/>
      <c r="F14" s="216"/>
      <c r="G14" s="216"/>
      <c r="H14" s="217" t="str">
        <f>IF(OR(Config!B22 &lt;&gt; "", Config!B23 &lt;&gt; "", Config!B24 &lt;&gt; "", Config!B25 &lt;&gt; "", Config!B26 &lt;&gt; "", Config!B27 &lt;&gt; "", Config!B28 &lt;&gt; "", Config!B29 &lt;&gt; "", Config!B30 &lt;&gt; ""), "MÉXICO,"  &amp; " " &amp; Config!B29, "México," &amp; " " &amp; Config!B19)</f>
        <v>México, Distrito Federal</v>
      </c>
      <c r="I14" s="217"/>
      <c r="J14" s="217"/>
      <c r="K14" s="217"/>
      <c r="L14" s="217"/>
      <c r="M14" s="217"/>
      <c r="N14" s="217"/>
      <c r="O14" s="217"/>
      <c r="P14" s="217"/>
      <c r="Q14" s="217"/>
      <c r="R14" s="217"/>
      <c r="S14" s="217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</row>
    <row r="15" spans="1:31" s="32" customFormat="1" ht="12.75" customHeight="1">
      <c r="A15" s="105"/>
      <c r="B15" s="106"/>
      <c r="D15" s="188" t="str">
        <f>Config!B8</f>
        <v>ROYAL HOLIDAY LATAM SA DE CV</v>
      </c>
      <c r="E15" s="188"/>
      <c r="F15" s="188"/>
      <c r="G15" s="188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</row>
    <row r="16" spans="1:31" s="32" customFormat="1" ht="12.75" customHeight="1">
      <c r="A16" s="105"/>
      <c r="B16" s="106"/>
      <c r="D16" s="188"/>
      <c r="E16" s="188"/>
      <c r="F16" s="188"/>
      <c r="G16" s="188"/>
      <c r="H16" s="212" t="str">
        <f>"NÚMERO DE " &amp; F1</f>
        <v>NÚMERO DE FACTURA</v>
      </c>
      <c r="I16" s="212"/>
      <c r="J16" s="212"/>
      <c r="K16" s="212"/>
      <c r="L16" s="212"/>
      <c r="M16" s="212"/>
      <c r="N16" s="212"/>
      <c r="O16" s="212"/>
      <c r="P16" s="212"/>
      <c r="Q16" s="212"/>
      <c r="R16" s="212"/>
      <c r="S16" s="212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</row>
    <row r="17" spans="1:31" s="32" customFormat="1" ht="15" customHeight="1">
      <c r="B17" s="104" t="s">
        <v>81</v>
      </c>
      <c r="D17" s="190" t="str">
        <f>"R.F.C.: " &amp; Config!B7</f>
        <v>R.F.C.: RHL9001054B8</v>
      </c>
      <c r="E17" s="190"/>
      <c r="F17" s="190"/>
      <c r="G17" s="190"/>
      <c r="H17" s="207" t="s">
        <v>80</v>
      </c>
      <c r="I17" s="207"/>
      <c r="J17" s="207"/>
      <c r="K17" s="207"/>
      <c r="L17" s="207"/>
      <c r="M17" s="207"/>
      <c r="N17" s="207"/>
      <c r="O17" s="207"/>
      <c r="P17" s="207"/>
      <c r="Q17" s="207"/>
      <c r="R17" s="207"/>
      <c r="S17" s="207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</row>
    <row r="18" spans="1:31" s="32" customFormat="1" ht="15" customHeight="1">
      <c r="B18" s="36"/>
      <c r="C18" s="36"/>
      <c r="D18" s="191" t="str">
        <f>Config!B12 &amp; " " &amp; Config!B13 &amp; " " &amp; Config!B14 &amp; " "  &amp; Config!B15</f>
        <v>Insurgentes Sur 1999 Piso 2 Guadalupe Inn</v>
      </c>
      <c r="E18" s="191"/>
      <c r="F18" s="191"/>
      <c r="G18" s="191"/>
      <c r="H18" s="215">
        <f>F2</f>
        <v>0</v>
      </c>
      <c r="I18" s="215"/>
      <c r="J18" s="215"/>
      <c r="K18" s="215"/>
      <c r="L18" s="215"/>
      <c r="M18" s="215"/>
      <c r="N18" s="215"/>
      <c r="O18" s="215"/>
      <c r="P18" s="215"/>
      <c r="Q18" s="215"/>
      <c r="R18" s="215"/>
      <c r="S18" s="215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</row>
    <row r="19" spans="1:31" s="32" customFormat="1" ht="15" customHeight="1">
      <c r="B19" s="36"/>
      <c r="C19" s="36"/>
      <c r="D19" s="192" t="str">
        <f>Config!B17 &amp; " " &amp; Config!B18 &amp; ", " &amp; Config!B19:B19 &amp; " C.P. " &amp; Config!B20</f>
        <v xml:space="preserve"> Álvaro Obregón, Distrito Federal C.P. 01020</v>
      </c>
      <c r="E19" s="192"/>
      <c r="F19" s="192"/>
      <c r="G19" s="192"/>
      <c r="H19" s="215"/>
      <c r="I19" s="215"/>
      <c r="J19" s="215"/>
      <c r="K19" s="215"/>
      <c r="L19" s="215"/>
      <c r="M19" s="215"/>
      <c r="N19" s="215"/>
      <c r="O19" s="215"/>
      <c r="P19" s="215"/>
      <c r="Q19" s="215"/>
      <c r="R19" s="215"/>
      <c r="S19" s="215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</row>
    <row r="20" spans="1:31" s="32" customFormat="1" ht="10.5" customHeight="1">
      <c r="B20" s="36"/>
      <c r="C20" s="38"/>
      <c r="D20" s="38"/>
      <c r="E20" s="39"/>
      <c r="F20" s="39"/>
      <c r="G20" s="39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</row>
    <row r="21" spans="1:31" s="30" customFormat="1" ht="15" customHeight="1">
      <c r="A21" s="184" t="s">
        <v>145</v>
      </c>
      <c r="B21" s="184"/>
      <c r="C21" s="184" t="str">
        <f>IF(ISNA(VLOOKUP(F3,Clientes!A:AA,2,FALSE)),"",VLOOKUP(F3,Clientes!A:AA,2,FALSE))</f>
        <v/>
      </c>
      <c r="D21" s="184"/>
      <c r="E21" s="184"/>
      <c r="F21" s="184"/>
      <c r="G21" s="184"/>
      <c r="H21" s="195" t="s">
        <v>86</v>
      </c>
      <c r="I21" s="195"/>
      <c r="J21" s="195"/>
      <c r="K21" s="195"/>
      <c r="L21" s="195"/>
      <c r="M21" s="195"/>
      <c r="N21" s="195"/>
      <c r="O21" s="195"/>
      <c r="P21" s="195"/>
      <c r="Q21" s="195"/>
      <c r="R21" s="195"/>
      <c r="S21" s="195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</row>
    <row r="22" spans="1:31" s="30" customFormat="1" ht="12.75">
      <c r="A22" s="64"/>
      <c r="B22" s="63"/>
      <c r="C22" s="184"/>
      <c r="D22" s="184"/>
      <c r="E22" s="184"/>
      <c r="F22" s="184"/>
      <c r="G22" s="184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55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</row>
    <row r="23" spans="1:31" s="30" customFormat="1" ht="15" customHeight="1">
      <c r="A23" s="185" t="s">
        <v>82</v>
      </c>
      <c r="B23" s="185"/>
      <c r="C23" s="189" t="str">
        <f>UPPER(F3)</f>
        <v/>
      </c>
      <c r="D23" s="189"/>
      <c r="E23" s="189"/>
      <c r="F23" s="189"/>
      <c r="G23" s="189"/>
      <c r="H23" s="65" t="s">
        <v>87</v>
      </c>
      <c r="I23" s="65"/>
      <c r="J23" s="65"/>
      <c r="K23" s="65"/>
      <c r="L23" s="65"/>
      <c r="M23" s="65"/>
      <c r="N23" s="65"/>
      <c r="O23" s="65"/>
      <c r="P23" s="65"/>
      <c r="Q23" s="65"/>
      <c r="R23" s="66" t="s">
        <v>89</v>
      </c>
      <c r="S23" s="66" t="s">
        <v>91</v>
      </c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</row>
    <row r="24" spans="1:31" s="30" customFormat="1" ht="12.75">
      <c r="C24" s="189"/>
      <c r="D24" s="189"/>
      <c r="E24" s="189"/>
      <c r="F24" s="189"/>
      <c r="G24" s="189"/>
      <c r="H24" s="66" t="s">
        <v>88</v>
      </c>
      <c r="I24" s="66"/>
      <c r="J24" s="66"/>
      <c r="K24" s="66"/>
      <c r="L24" s="66"/>
      <c r="M24" s="66"/>
      <c r="N24" s="66"/>
      <c r="O24" s="66"/>
      <c r="P24" s="66"/>
      <c r="Q24" s="66"/>
      <c r="R24" s="66" t="s">
        <v>90</v>
      </c>
      <c r="S24" s="66" t="s">
        <v>92</v>
      </c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</row>
    <row r="25" spans="1:31" s="30" customFormat="1" ht="15" customHeight="1">
      <c r="A25" s="186" t="s">
        <v>147</v>
      </c>
      <c r="B25" s="186"/>
      <c r="C25" s="184" t="str">
        <f>IF(ISNA(VLOOKUP(F3,Clientes!A:AA,5,FALSE) &amp; " " &amp; VLOOKUP(F3,Clientes!A:AA,6,FALSE) &amp; " " &amp; VLOOKUP(F3,Clientes!A:AA,7,FALSE) &amp; " " &amp; VLOOKUP(F3,Clientes!A:AA,8,FALSE) &amp; " " &amp; VLOOKUP(F3,Clientes!A:AA,9,FALSE) &amp; " " &amp; VLOOKUP(F3,Clientes!A:AA,10,FALSE)),"",VLOOKUP(F3,Clientes!A:AA,5,FALSE) &amp; " " &amp; VLOOKUP(F3,Clientes!A:AA,6,FALSE) &amp; " " &amp; VLOOKUP(F3,Clientes!A:AA,7,FALSE) &amp; " " &amp; VLOOKUP(F3,Clientes!A:AA,8,FALSE) &amp; " " &amp; VLOOKUP(F3,Clientes!A:AA,9,FALSE) &amp; " " &amp; VLOOKUP(F3,Clientes!A:AA,10,FALSE)) &amp; IF(IF(ISNA(VLOOKUP(F3,Clientes!A:AA,13,FALSE)),"",VLOOKUP(F3,Clientes!A:AA,13,FALSE)) &lt;&gt; ""," C.P. " &amp; IF(ISNA(VLOOKUP(F3,Clientes!A:AA,13,FALSE)),"",VLOOKUP(F3,Clientes!A:AA,13,FALSE)),"")</f>
        <v/>
      </c>
      <c r="D25" s="184"/>
      <c r="E25" s="184"/>
      <c r="F25" s="184"/>
      <c r="G25" s="184"/>
      <c r="H25" s="65"/>
      <c r="I25" s="66"/>
      <c r="J25" s="66"/>
      <c r="K25" s="66"/>
      <c r="L25" s="66"/>
      <c r="M25" s="66"/>
      <c r="N25" s="66"/>
      <c r="O25" s="66"/>
      <c r="P25" s="66"/>
      <c r="Q25" s="66"/>
      <c r="R25" s="65"/>
      <c r="S25" s="65"/>
      <c r="T25" s="44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</row>
    <row r="26" spans="1:31" s="30" customFormat="1" ht="15">
      <c r="C26" s="184"/>
      <c r="D26" s="184"/>
      <c r="E26" s="184"/>
      <c r="F26" s="184"/>
      <c r="G26" s="184"/>
      <c r="H26" s="67">
        <f ca="1">TODAY()</f>
        <v>41939</v>
      </c>
      <c r="I26" s="68"/>
      <c r="J26" s="68"/>
      <c r="K26" s="68"/>
      <c r="L26" s="68"/>
      <c r="M26" s="68"/>
      <c r="N26" s="68"/>
      <c r="O26" s="68"/>
      <c r="P26" s="68"/>
      <c r="Q26" s="68"/>
      <c r="R26" s="69">
        <f ca="1">TODAY()</f>
        <v>41939</v>
      </c>
      <c r="S26" s="70">
        <f ca="1">TODAY()</f>
        <v>41939</v>
      </c>
      <c r="U26" s="29"/>
      <c r="V26" s="29"/>
      <c r="W26" s="29"/>
      <c r="X26" s="29"/>
      <c r="Y26" s="29"/>
      <c r="Z26" s="29"/>
      <c r="AA26" s="29"/>
      <c r="AB26" s="29"/>
      <c r="AC26" s="29"/>
    </row>
    <row r="27" spans="1:31" s="30" customFormat="1" ht="12.75">
      <c r="A27" s="186" t="s">
        <v>146</v>
      </c>
      <c r="B27" s="186"/>
      <c r="C27" s="189" t="str">
        <f>IF(ISNA(VLOOKUP(F3,Clientes!A:AA,11,FALSE) &amp; ", " &amp; VLOOKUP(F3,Clientes!A:AA,12,FALSE)),"",VLOOKUP(F3,Clientes!A:AA,11,FALSE) &amp; ", " &amp; VLOOKUP(F3,Clientes!A:AA,12,FALSE))</f>
        <v/>
      </c>
      <c r="D27" s="189"/>
      <c r="E27" s="189"/>
      <c r="F27" s="189"/>
      <c r="G27" s="189"/>
      <c r="H27" s="193"/>
      <c r="I27" s="194"/>
      <c r="J27" s="194"/>
      <c r="K27" s="194"/>
      <c r="L27" s="194"/>
      <c r="M27" s="194"/>
      <c r="N27" s="194"/>
      <c r="O27" s="194"/>
      <c r="P27" s="194"/>
      <c r="Q27" s="194"/>
      <c r="R27" s="194"/>
      <c r="S27" s="194"/>
      <c r="T27" s="42"/>
      <c r="U27" s="29"/>
      <c r="V27" s="29"/>
      <c r="W27" s="29"/>
      <c r="X27" s="29"/>
      <c r="Y27" s="29"/>
      <c r="Z27" s="29"/>
      <c r="AA27" s="29"/>
      <c r="AB27" s="29"/>
      <c r="AC27" s="29"/>
    </row>
    <row r="28" spans="1:31" s="30" customFormat="1" ht="9">
      <c r="C28" s="189"/>
      <c r="D28" s="189"/>
      <c r="E28" s="189"/>
      <c r="F28" s="189"/>
      <c r="G28" s="189"/>
      <c r="T28" s="29"/>
      <c r="U28" s="29"/>
      <c r="V28" s="29"/>
      <c r="W28" s="29"/>
      <c r="X28" s="29"/>
      <c r="Y28" s="29"/>
      <c r="Z28" s="29"/>
      <c r="AA28" s="29"/>
      <c r="AB28" s="29"/>
      <c r="AC28" s="29"/>
    </row>
    <row r="29" spans="1:31" s="30" customFormat="1" ht="9" customHeight="1">
      <c r="B29" s="72"/>
      <c r="C29" s="72"/>
      <c r="D29" s="74"/>
      <c r="E29" s="74"/>
      <c r="F29" s="74"/>
      <c r="G29" s="74"/>
      <c r="H29" s="71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29"/>
      <c r="U29" s="29"/>
      <c r="V29" s="29"/>
      <c r="W29" s="29"/>
      <c r="X29" s="29"/>
      <c r="Y29" s="29"/>
      <c r="Z29" s="29"/>
      <c r="AA29" s="29"/>
      <c r="AB29" s="29"/>
      <c r="AC29" s="29"/>
    </row>
    <row r="30" spans="1:31" s="30" customFormat="1" ht="13.5" customHeight="1" thickBot="1">
      <c r="A30" s="123" t="s">
        <v>55</v>
      </c>
      <c r="B30" s="118" t="s">
        <v>93</v>
      </c>
      <c r="C30" s="75" t="s">
        <v>54</v>
      </c>
      <c r="D30" s="214" t="s">
        <v>74</v>
      </c>
      <c r="E30" s="214"/>
      <c r="F30" s="214"/>
      <c r="G30" s="208" t="s">
        <v>229</v>
      </c>
      <c r="H30" s="208"/>
      <c r="I30" s="208" t="s">
        <v>57</v>
      </c>
      <c r="J30" s="213" t="s">
        <v>58</v>
      </c>
      <c r="K30" s="213"/>
      <c r="L30" s="213" t="s">
        <v>3</v>
      </c>
      <c r="M30" s="213"/>
      <c r="N30" s="214" t="s">
        <v>4</v>
      </c>
      <c r="O30" s="214"/>
      <c r="P30" s="214" t="s">
        <v>72</v>
      </c>
      <c r="Q30" s="214"/>
      <c r="R30" s="208" t="s">
        <v>133</v>
      </c>
      <c r="S30" s="208"/>
      <c r="T30" s="47"/>
      <c r="U30" s="29"/>
      <c r="V30" s="29"/>
      <c r="W30" s="29"/>
      <c r="X30" s="29"/>
      <c r="Y30" s="29"/>
      <c r="Z30" s="29"/>
      <c r="AA30" s="29"/>
      <c r="AB30" s="29"/>
      <c r="AC30" s="29"/>
    </row>
    <row r="31" spans="1:31" s="30" customFormat="1" ht="12.75">
      <c r="A31" s="123" t="s">
        <v>135</v>
      </c>
      <c r="B31" s="118" t="s">
        <v>136</v>
      </c>
      <c r="C31" s="75" t="s">
        <v>73</v>
      </c>
      <c r="D31" s="214" t="s">
        <v>96</v>
      </c>
      <c r="E31" s="214"/>
      <c r="F31" s="214"/>
      <c r="G31" s="208" t="s">
        <v>230</v>
      </c>
      <c r="H31" s="208"/>
      <c r="I31" s="208"/>
      <c r="J31" s="76" t="s">
        <v>1</v>
      </c>
      <c r="K31" s="77" t="s">
        <v>2</v>
      </c>
      <c r="L31" s="76" t="s">
        <v>1</v>
      </c>
      <c r="M31" s="77" t="s">
        <v>2</v>
      </c>
      <c r="N31" s="75" t="s">
        <v>1</v>
      </c>
      <c r="O31" s="78" t="s">
        <v>2</v>
      </c>
      <c r="P31" s="75" t="s">
        <v>1</v>
      </c>
      <c r="Q31" s="78" t="s">
        <v>2</v>
      </c>
      <c r="R31" s="208" t="s">
        <v>134</v>
      </c>
      <c r="S31" s="208"/>
      <c r="T31" s="47"/>
      <c r="U31" s="29"/>
      <c r="V31" s="29"/>
      <c r="W31" s="29"/>
      <c r="X31" s="29"/>
      <c r="Y31" s="29"/>
      <c r="Z31" s="29"/>
      <c r="AA31" s="29"/>
      <c r="AB31" s="29"/>
      <c r="AC31" s="29"/>
    </row>
    <row r="32" spans="1:31" s="46" customFormat="1" ht="12.75">
      <c r="A32" s="124"/>
      <c r="B32" s="79" t="str">
        <f>IF(D32 = "","",IF(ISERROR(VLOOKUP(C32,Productos!A:G,2,FALSE)),F5,IF(VLOOKUP(C32,Productos!A:G,2,FALSE)=0,F5,VLOOKUP(C32,Productos!A:G,2,FALSE))))</f>
        <v/>
      </c>
      <c r="C32" s="174"/>
      <c r="D32" s="187" t="str">
        <f>IF(ISERROR(VLOOKUP(C32,Productos!A:G,3,FALSE)),"",VLOOKUP(C32,Productos!A:G,3,FALSE))</f>
        <v/>
      </c>
      <c r="E32" s="187"/>
      <c r="F32" s="187"/>
      <c r="G32" s="177">
        <f>IF(ISERROR(VLOOKUP(C32,Productos!A:G,4,FALSE)),0,VLOOKUP(C32,Productos!A:G,4,FALSE))</f>
        <v>0</v>
      </c>
      <c r="H32" s="177"/>
      <c r="I32" s="80">
        <f t="shared" ref="I32:I59" si="0">IF(A32="",0,A32*G32)</f>
        <v>0</v>
      </c>
      <c r="J32" s="81">
        <f>IF(ISERROR(VLOOKUP(C32,Productos!A:G,5,FALSE)),0,VLOOKUP(C32,Productos!A:G,5,FALSE))</f>
        <v>0</v>
      </c>
      <c r="K32" s="82">
        <f t="shared" ref="K32:K59" si="1">I32*J32/100</f>
        <v>0</v>
      </c>
      <c r="L32" s="81">
        <f>IF(ISERROR(VLOOKUP(C32,Productos!A:G,6,FALSE)),0,VLOOKUP(C32,Productos!A:G,6,FALSE))</f>
        <v>0</v>
      </c>
      <c r="M32" s="83">
        <f t="shared" ref="M32:M59" si="2">(I32-K32)*(L32/100)</f>
        <v>0</v>
      </c>
      <c r="N32" s="84">
        <f>IF(ISERROR(VLOOKUP(C32,Productos!A:G,7,FALSE)),0,VLOOKUP(C32,Productos!A:G,7,FALSE))</f>
        <v>0</v>
      </c>
      <c r="O32" s="85">
        <f t="shared" ref="O32:O59" si="3">(I32-K32+M32)*(N32/100)</f>
        <v>0</v>
      </c>
      <c r="P32" s="84">
        <f>IF(ISERROR(VLOOKUP(C32,Productos!A:H,8,FALSE)),0,VLOOKUP(C32,Productos!A:H,8,FALSE))</f>
        <v>0</v>
      </c>
      <c r="Q32" s="85">
        <f t="shared" ref="Q32:Q59" si="4">(K32-M32)*(R32/100)</f>
        <v>0</v>
      </c>
      <c r="R32" s="176">
        <f t="shared" ref="R32:R59" si="5">IF(A32="",0,A32*G32)</f>
        <v>0</v>
      </c>
      <c r="S32" s="176"/>
      <c r="T32" s="45"/>
      <c r="U32" s="45"/>
      <c r="V32" s="45"/>
      <c r="W32" s="45"/>
      <c r="X32" s="45"/>
      <c r="Y32" s="45"/>
      <c r="Z32" s="45"/>
      <c r="AA32" s="45"/>
      <c r="AB32" s="45"/>
      <c r="AC32" s="45"/>
    </row>
    <row r="33" spans="1:29" s="46" customFormat="1" ht="12.75">
      <c r="A33" s="124"/>
      <c r="B33" s="79" t="str">
        <f>IF(D33 = "","",IF(ISERROR(VLOOKUP(C33,Productos!A:G,2,FALSE)),F5,IF(VLOOKUP(C33,Productos!A:G,2,FALSE)=0,F5,VLOOKUP(C33,Productos!A:G,2,FALSE))))</f>
        <v/>
      </c>
      <c r="C33" s="174"/>
      <c r="D33" s="187" t="str">
        <f>IF(ISERROR(VLOOKUP(C33,Productos!A:G,3,FALSE)),"",VLOOKUP(C33,Productos!A:G,3,FALSE))</f>
        <v/>
      </c>
      <c r="E33" s="187"/>
      <c r="F33" s="187"/>
      <c r="G33" s="177">
        <f>IF(ISERROR(VLOOKUP(C33,Productos!A:G,4,FALSE)),0,VLOOKUP(C33,Productos!A:G,4,FALSE))</f>
        <v>0</v>
      </c>
      <c r="H33" s="177"/>
      <c r="I33" s="80">
        <f t="shared" si="0"/>
        <v>0</v>
      </c>
      <c r="J33" s="81">
        <f>IF(ISERROR(VLOOKUP(C33,Productos!A:G,5,FALSE)),0,VLOOKUP(C33,Productos!A:G,5,FALSE))</f>
        <v>0</v>
      </c>
      <c r="K33" s="82">
        <f t="shared" si="1"/>
        <v>0</v>
      </c>
      <c r="L33" s="81">
        <f>IF(ISERROR(VLOOKUP(C33,Productos!A:G,6,FALSE)),0,VLOOKUP(C33,Productos!A:G,6,FALSE))</f>
        <v>0</v>
      </c>
      <c r="M33" s="83">
        <f t="shared" si="2"/>
        <v>0</v>
      </c>
      <c r="N33" s="84">
        <f>IF(ISERROR(VLOOKUP(C33,Productos!A:G,7,FALSE)),0,VLOOKUP(C33,Productos!A:G,7,FALSE))</f>
        <v>0</v>
      </c>
      <c r="O33" s="85">
        <f t="shared" si="3"/>
        <v>0</v>
      </c>
      <c r="P33" s="84">
        <f>IF(ISERROR(VLOOKUP(C33,Productos!A:H,8,FALSE)),0,VLOOKUP(C33,Productos!A:H,8,FALSE))</f>
        <v>0</v>
      </c>
      <c r="Q33" s="85">
        <f t="shared" si="4"/>
        <v>0</v>
      </c>
      <c r="R33" s="176">
        <f t="shared" si="5"/>
        <v>0</v>
      </c>
      <c r="S33" s="176"/>
      <c r="T33" s="45"/>
      <c r="U33" s="45"/>
      <c r="V33" s="45"/>
      <c r="W33" s="45"/>
      <c r="X33" s="45"/>
      <c r="Y33" s="45"/>
      <c r="Z33" s="45"/>
      <c r="AA33" s="45"/>
      <c r="AB33" s="45"/>
      <c r="AC33" s="45"/>
    </row>
    <row r="34" spans="1:29" s="46" customFormat="1" ht="12.75">
      <c r="A34" s="124"/>
      <c r="B34" s="79" t="str">
        <f>IF(D34 = "","",IF(ISERROR(VLOOKUP(C34,Productos!A:G,2,FALSE)),F5,IF(VLOOKUP(C34,Productos!A:G,2,FALSE)=0,F5,VLOOKUP(C34,Productos!A:G,2,FALSE))))</f>
        <v/>
      </c>
      <c r="C34" s="174"/>
      <c r="D34" s="187" t="str">
        <f>IF(ISERROR(VLOOKUP(C34,Productos!A:G,3,FALSE)),"",VLOOKUP(C34,Productos!A:G,3,FALSE))</f>
        <v/>
      </c>
      <c r="E34" s="187"/>
      <c r="F34" s="187"/>
      <c r="G34" s="177">
        <f>IF(ISERROR(VLOOKUP(C34,Productos!A:G,4,FALSE)),0,VLOOKUP(C34,Productos!A:G,4,FALSE))</f>
        <v>0</v>
      </c>
      <c r="H34" s="177"/>
      <c r="I34" s="80">
        <f t="shared" si="0"/>
        <v>0</v>
      </c>
      <c r="J34" s="81">
        <f>IF(ISERROR(VLOOKUP(C34,Productos!A:G,5,FALSE)),0,VLOOKUP(C34,Productos!A:G,5,FALSE))</f>
        <v>0</v>
      </c>
      <c r="K34" s="82">
        <f t="shared" si="1"/>
        <v>0</v>
      </c>
      <c r="L34" s="81">
        <f>IF(ISERROR(VLOOKUP(C34,Productos!A:G,6,FALSE)),0,VLOOKUP(C34,Productos!A:G,6,FALSE))</f>
        <v>0</v>
      </c>
      <c r="M34" s="83">
        <f t="shared" si="2"/>
        <v>0</v>
      </c>
      <c r="N34" s="84">
        <f>IF(ISERROR(VLOOKUP(C34,Productos!A:G,7,FALSE)),0,VLOOKUP(C34,Productos!A:G,7,FALSE))</f>
        <v>0</v>
      </c>
      <c r="O34" s="85">
        <f t="shared" si="3"/>
        <v>0</v>
      </c>
      <c r="P34" s="84">
        <f>IF(ISERROR(VLOOKUP(C34,Productos!A:H,8,FALSE)),0,VLOOKUP(C34,Productos!A:H,8,FALSE))</f>
        <v>0</v>
      </c>
      <c r="Q34" s="85">
        <f t="shared" si="4"/>
        <v>0</v>
      </c>
      <c r="R34" s="176">
        <f t="shared" si="5"/>
        <v>0</v>
      </c>
      <c r="S34" s="176"/>
      <c r="T34" s="45"/>
      <c r="U34" s="45"/>
      <c r="V34" s="45"/>
      <c r="W34" s="45"/>
      <c r="X34" s="45"/>
      <c r="Y34" s="45"/>
      <c r="Z34" s="45"/>
      <c r="AA34" s="45"/>
      <c r="AB34" s="45"/>
      <c r="AC34" s="45"/>
    </row>
    <row r="35" spans="1:29" s="46" customFormat="1" ht="12.75">
      <c r="A35" s="124"/>
      <c r="B35" s="79" t="str">
        <f>IF(D35 = "","",IF(ISERROR(VLOOKUP(C35,Productos!A:G,2,FALSE)),F5,IF(VLOOKUP(C35,Productos!A:G,2,FALSE)=0,F5,VLOOKUP(C35,Productos!A:G,2,FALSE))))</f>
        <v/>
      </c>
      <c r="C35" s="174"/>
      <c r="D35" s="187" t="str">
        <f>IF(ISERROR(VLOOKUP(C35,Productos!A:G,3,FALSE)),"",VLOOKUP(C35,Productos!A:G,3,FALSE))</f>
        <v/>
      </c>
      <c r="E35" s="187"/>
      <c r="F35" s="187"/>
      <c r="G35" s="177">
        <f>IF(ISERROR(VLOOKUP(C35,Productos!A:G,4,FALSE)),0,VLOOKUP(C35,Productos!A:G,4,FALSE))</f>
        <v>0</v>
      </c>
      <c r="H35" s="177"/>
      <c r="I35" s="80">
        <f t="shared" si="0"/>
        <v>0</v>
      </c>
      <c r="J35" s="81">
        <f>IF(ISERROR(VLOOKUP(C35,Productos!A:G,5,FALSE)),0,VLOOKUP(C35,Productos!A:G,5,FALSE))</f>
        <v>0</v>
      </c>
      <c r="K35" s="82">
        <f t="shared" si="1"/>
        <v>0</v>
      </c>
      <c r="L35" s="81">
        <f>IF(ISERROR(VLOOKUP(C35,Productos!A:G,6,FALSE)),0,VLOOKUP(C35,Productos!A:G,6,FALSE))</f>
        <v>0</v>
      </c>
      <c r="M35" s="83">
        <f t="shared" si="2"/>
        <v>0</v>
      </c>
      <c r="N35" s="84">
        <f>IF(ISERROR(VLOOKUP(C35,Productos!A:G,7,FALSE)),0,VLOOKUP(C35,Productos!A:G,7,FALSE))</f>
        <v>0</v>
      </c>
      <c r="O35" s="85">
        <f t="shared" si="3"/>
        <v>0</v>
      </c>
      <c r="P35" s="84">
        <f>IF(ISERROR(VLOOKUP(C35,Productos!A:H,8,FALSE)),0,VLOOKUP(C35,Productos!A:H,8,FALSE))</f>
        <v>0</v>
      </c>
      <c r="Q35" s="85">
        <f t="shared" si="4"/>
        <v>0</v>
      </c>
      <c r="R35" s="176">
        <f t="shared" si="5"/>
        <v>0</v>
      </c>
      <c r="S35" s="176"/>
      <c r="T35" s="45"/>
      <c r="U35" s="45"/>
      <c r="V35" s="45"/>
      <c r="W35" s="45"/>
      <c r="X35" s="45"/>
      <c r="Y35" s="45"/>
      <c r="Z35" s="45"/>
      <c r="AA35" s="45"/>
      <c r="AB35" s="45"/>
      <c r="AC35" s="45"/>
    </row>
    <row r="36" spans="1:29" s="46" customFormat="1" ht="12.75">
      <c r="A36" s="124"/>
      <c r="B36" s="79" t="str">
        <f>IF(D36 = "","",IF(ISERROR(VLOOKUP(C36,Productos!A:G,2,FALSE)),F5,IF(VLOOKUP(C36,Productos!A:G,2,FALSE)=0,F5,VLOOKUP(C36,Productos!A:G,2,FALSE))))</f>
        <v/>
      </c>
      <c r="C36" s="174"/>
      <c r="D36" s="187" t="str">
        <f>IF(ISERROR(VLOOKUP(C36,Productos!A:G,3,FALSE)),"",VLOOKUP(C36,Productos!A:G,3,FALSE))</f>
        <v/>
      </c>
      <c r="E36" s="187"/>
      <c r="F36" s="187"/>
      <c r="G36" s="177">
        <f>IF(ISERROR(VLOOKUP(C36,Productos!A:G,4,FALSE)),0,VLOOKUP(C36,Productos!A:G,4,FALSE))</f>
        <v>0</v>
      </c>
      <c r="H36" s="177"/>
      <c r="I36" s="80">
        <f t="shared" si="0"/>
        <v>0</v>
      </c>
      <c r="J36" s="81">
        <f>IF(ISERROR(VLOOKUP(C36,Productos!A:G,5,FALSE)),0,VLOOKUP(C36,Productos!A:G,5,FALSE))</f>
        <v>0</v>
      </c>
      <c r="K36" s="82">
        <f t="shared" si="1"/>
        <v>0</v>
      </c>
      <c r="L36" s="81">
        <f>IF(ISERROR(VLOOKUP(C36,Productos!A:G,6,FALSE)),0,VLOOKUP(C36,Productos!A:G,6,FALSE))</f>
        <v>0</v>
      </c>
      <c r="M36" s="83">
        <f t="shared" si="2"/>
        <v>0</v>
      </c>
      <c r="N36" s="84">
        <f>IF(ISERROR(VLOOKUP(C36,Productos!A:G,7,FALSE)),0,VLOOKUP(C36,Productos!A:G,7,FALSE))</f>
        <v>0</v>
      </c>
      <c r="O36" s="85">
        <f t="shared" si="3"/>
        <v>0</v>
      </c>
      <c r="P36" s="84">
        <f>IF(ISERROR(VLOOKUP(C36,Productos!A:H,8,FALSE)),0,VLOOKUP(C36,Productos!A:H,8,FALSE))</f>
        <v>0</v>
      </c>
      <c r="Q36" s="85">
        <f t="shared" si="4"/>
        <v>0</v>
      </c>
      <c r="R36" s="176">
        <f t="shared" si="5"/>
        <v>0</v>
      </c>
      <c r="S36" s="176"/>
      <c r="T36" s="45"/>
      <c r="U36" s="45"/>
      <c r="V36" s="45"/>
      <c r="W36" s="45"/>
      <c r="X36" s="45"/>
      <c r="Y36" s="45"/>
      <c r="Z36" s="45"/>
      <c r="AA36" s="45"/>
      <c r="AB36" s="45"/>
      <c r="AC36" s="45"/>
    </row>
    <row r="37" spans="1:29" s="46" customFormat="1" ht="12.75">
      <c r="A37" s="124"/>
      <c r="B37" s="79" t="str">
        <f>IF(D37 = "","",IF(ISERROR(VLOOKUP(C37,Productos!A:G,2,FALSE)),F5,IF(VLOOKUP(C37,Productos!A:G,2,FALSE)=0,F5,VLOOKUP(C37,Productos!A:G,2,FALSE))))</f>
        <v/>
      </c>
      <c r="C37" s="174"/>
      <c r="D37" s="187" t="str">
        <f>IF(ISERROR(VLOOKUP(C37,Productos!A:G,3,FALSE)),"",VLOOKUP(C37,Productos!A:G,3,FALSE))</f>
        <v/>
      </c>
      <c r="E37" s="187"/>
      <c r="F37" s="187"/>
      <c r="G37" s="177">
        <f>IF(ISERROR(VLOOKUP(C37,Productos!A:G,4,FALSE)),0,VLOOKUP(C37,Productos!A:G,4,FALSE))</f>
        <v>0</v>
      </c>
      <c r="H37" s="177"/>
      <c r="I37" s="80">
        <f t="shared" si="0"/>
        <v>0</v>
      </c>
      <c r="J37" s="81">
        <f>IF(ISERROR(VLOOKUP(C37,Productos!A:G,5,FALSE)),0,VLOOKUP(C37,Productos!A:G,5,FALSE))</f>
        <v>0</v>
      </c>
      <c r="K37" s="82">
        <f t="shared" si="1"/>
        <v>0</v>
      </c>
      <c r="L37" s="81">
        <f>IF(ISERROR(VLOOKUP(C37,Productos!A:G,6,FALSE)),0,VLOOKUP(C37,Productos!A:G,6,FALSE))</f>
        <v>0</v>
      </c>
      <c r="M37" s="83">
        <f t="shared" si="2"/>
        <v>0</v>
      </c>
      <c r="N37" s="84">
        <f>IF(ISERROR(VLOOKUP(C37,Productos!A:G,7,FALSE)),0,VLOOKUP(C37,Productos!A:G,7,FALSE))</f>
        <v>0</v>
      </c>
      <c r="O37" s="85">
        <f t="shared" si="3"/>
        <v>0</v>
      </c>
      <c r="P37" s="84">
        <f>IF(ISERROR(VLOOKUP(C37,Productos!A:H,8,FALSE)),0,VLOOKUP(C37,Productos!A:H,8,FALSE))</f>
        <v>0</v>
      </c>
      <c r="Q37" s="85">
        <f t="shared" si="4"/>
        <v>0</v>
      </c>
      <c r="R37" s="176">
        <f t="shared" si="5"/>
        <v>0</v>
      </c>
      <c r="S37" s="176"/>
      <c r="T37" s="45"/>
      <c r="U37" s="45"/>
      <c r="V37" s="45"/>
      <c r="W37" s="45"/>
      <c r="X37" s="45"/>
      <c r="Y37" s="45"/>
      <c r="Z37" s="45"/>
      <c r="AA37" s="45"/>
      <c r="AB37" s="45"/>
      <c r="AC37" s="45"/>
    </row>
    <row r="38" spans="1:29" s="46" customFormat="1" ht="12.75">
      <c r="A38" s="124"/>
      <c r="B38" s="79" t="str">
        <f>IF(D38 = "","",IF(ISERROR(VLOOKUP(C38,Productos!A:G,2,FALSE)),F5,IF(VLOOKUP(C38,Productos!A:G,2,FALSE)=0,F5,VLOOKUP(C38,Productos!A:G,2,FALSE))))</f>
        <v/>
      </c>
      <c r="C38" s="79"/>
      <c r="D38" s="187" t="str">
        <f>IF(ISERROR(VLOOKUP(C38,Productos!A:G,3,FALSE)),"",VLOOKUP(C38,Productos!A:G,3,FALSE))</f>
        <v/>
      </c>
      <c r="E38" s="187"/>
      <c r="F38" s="187"/>
      <c r="G38" s="177">
        <f>IF(ISERROR(VLOOKUP(C38,Productos!A:G,4,FALSE)),0,VLOOKUP(C38,Productos!A:G,4,FALSE))</f>
        <v>0</v>
      </c>
      <c r="H38" s="177"/>
      <c r="I38" s="80">
        <f t="shared" si="0"/>
        <v>0</v>
      </c>
      <c r="J38" s="81">
        <f>IF(ISERROR(VLOOKUP(C38,Productos!A:G,5,FALSE)),0,VLOOKUP(C38,Productos!A:G,5,FALSE))</f>
        <v>0</v>
      </c>
      <c r="K38" s="82">
        <f t="shared" si="1"/>
        <v>0</v>
      </c>
      <c r="L38" s="81">
        <f>IF(ISERROR(VLOOKUP(C38,Productos!A:G,6,FALSE)),0,VLOOKUP(C38,Productos!A:G,6,FALSE))</f>
        <v>0</v>
      </c>
      <c r="M38" s="83">
        <f t="shared" si="2"/>
        <v>0</v>
      </c>
      <c r="N38" s="84">
        <f>IF(ISERROR(VLOOKUP(C38,Productos!A:G,7,FALSE)),0,VLOOKUP(C38,Productos!A:G,7,FALSE))</f>
        <v>0</v>
      </c>
      <c r="O38" s="85">
        <f t="shared" si="3"/>
        <v>0</v>
      </c>
      <c r="P38" s="84">
        <f>IF(ISERROR(VLOOKUP(C38,Productos!A:H,8,FALSE)),0,VLOOKUP(C38,Productos!A:H,8,FALSE))</f>
        <v>0</v>
      </c>
      <c r="Q38" s="85">
        <f t="shared" si="4"/>
        <v>0</v>
      </c>
      <c r="R38" s="176">
        <f t="shared" si="5"/>
        <v>0</v>
      </c>
      <c r="S38" s="176"/>
      <c r="T38" s="45"/>
      <c r="U38" s="45"/>
      <c r="V38" s="45"/>
      <c r="W38" s="45"/>
      <c r="X38" s="45"/>
      <c r="Y38" s="45"/>
      <c r="Z38" s="45"/>
      <c r="AA38" s="45"/>
      <c r="AB38" s="45"/>
      <c r="AC38" s="45"/>
    </row>
    <row r="39" spans="1:29" s="46" customFormat="1" ht="12.75">
      <c r="A39" s="124"/>
      <c r="B39" s="79" t="str">
        <f>IF(D39 = "","",IF(ISERROR(VLOOKUP(C39,Productos!A:G,2,FALSE)),F5,IF(VLOOKUP(C39,Productos!A:G,2,FALSE)=0,F5,VLOOKUP(C39,Productos!A:G,2,FALSE))))</f>
        <v/>
      </c>
      <c r="C39" s="79"/>
      <c r="D39" s="178" t="str">
        <f>IF(ISERROR(VLOOKUP(C39,Productos!A:G,3,FALSE)),"",VLOOKUP(C39,Productos!A:G,3,FALSE))</f>
        <v/>
      </c>
      <c r="E39" s="178"/>
      <c r="F39" s="178"/>
      <c r="G39" s="177">
        <f>IF(ISERROR(VLOOKUP(C39,Productos!A:G,4,FALSE)),0,VLOOKUP(C39,Productos!A:G,4,FALSE))</f>
        <v>0</v>
      </c>
      <c r="H39" s="177"/>
      <c r="I39" s="80">
        <f t="shared" si="0"/>
        <v>0</v>
      </c>
      <c r="J39" s="81">
        <f>IF(ISERROR(VLOOKUP(C39,Productos!A:G,5,FALSE)),0,VLOOKUP(C39,Productos!A:G,5,FALSE))</f>
        <v>0</v>
      </c>
      <c r="K39" s="82">
        <f t="shared" si="1"/>
        <v>0</v>
      </c>
      <c r="L39" s="81">
        <f>IF(ISERROR(VLOOKUP(C39,Productos!A:G,6,FALSE)),0,VLOOKUP(C39,Productos!A:G,6,FALSE))</f>
        <v>0</v>
      </c>
      <c r="M39" s="83">
        <f t="shared" si="2"/>
        <v>0</v>
      </c>
      <c r="N39" s="84">
        <f>IF(ISERROR(VLOOKUP(C39,Productos!A:G,7,FALSE)),0,VLOOKUP(C39,Productos!A:G,7,FALSE))</f>
        <v>0</v>
      </c>
      <c r="O39" s="85">
        <f t="shared" si="3"/>
        <v>0</v>
      </c>
      <c r="P39" s="84">
        <f>IF(ISERROR(VLOOKUP(C39,Productos!A:H,8,FALSE)),0,VLOOKUP(C39,Productos!A:H,8,FALSE))</f>
        <v>0</v>
      </c>
      <c r="Q39" s="85">
        <f t="shared" si="4"/>
        <v>0</v>
      </c>
      <c r="R39" s="176">
        <f t="shared" si="5"/>
        <v>0</v>
      </c>
      <c r="S39" s="176"/>
      <c r="T39" s="45"/>
      <c r="U39" s="45"/>
      <c r="V39" s="45"/>
      <c r="W39" s="45"/>
      <c r="X39" s="45"/>
      <c r="Y39" s="45"/>
      <c r="Z39" s="45"/>
      <c r="AA39" s="45"/>
      <c r="AB39" s="45"/>
      <c r="AC39" s="45"/>
    </row>
    <row r="40" spans="1:29" s="134" customFormat="1" ht="12.75">
      <c r="A40" s="124"/>
      <c r="B40" s="79" t="str">
        <f>IF(D40 = "","",IF(ISERROR(VLOOKUP(C40,Productos!A:G,2,FALSE)),F5,IF(VLOOKUP(C40,Productos!A:G,2,FALSE)=0,F5,VLOOKUP(C40,Productos!A:G,2,FALSE))))</f>
        <v/>
      </c>
      <c r="C40" s="79"/>
      <c r="D40" s="178" t="str">
        <f>IF(ISERROR(VLOOKUP(C40,Productos!A:G,3,FALSE)),"",VLOOKUP(C40,Productos!A:G,3,FALSE))</f>
        <v/>
      </c>
      <c r="E40" s="178"/>
      <c r="F40" s="178"/>
      <c r="G40" s="177">
        <f>IF(ISERROR(VLOOKUP(C40,Productos!A:G,4,FALSE)),0,VLOOKUP(C40,Productos!A:G,4,FALSE))</f>
        <v>0</v>
      </c>
      <c r="H40" s="177"/>
      <c r="I40" s="80">
        <f t="shared" si="0"/>
        <v>0</v>
      </c>
      <c r="J40" s="81">
        <f>IF(ISERROR(VLOOKUP(C40,Productos!A:G,5,FALSE)),0,VLOOKUP(C40,Productos!A:G,5,FALSE))</f>
        <v>0</v>
      </c>
      <c r="K40" s="82">
        <f t="shared" si="1"/>
        <v>0</v>
      </c>
      <c r="L40" s="81">
        <f>IF(ISERROR(VLOOKUP(C40,Productos!A:G,6,FALSE)),0,VLOOKUP(C40,Productos!A:G,6,FALSE))</f>
        <v>0</v>
      </c>
      <c r="M40" s="83">
        <f t="shared" si="2"/>
        <v>0</v>
      </c>
      <c r="N40" s="84">
        <f>IF(ISERROR(VLOOKUP(C40,Productos!A:G,7,FALSE)),0,VLOOKUP(C40,Productos!A:G,7,FALSE))</f>
        <v>0</v>
      </c>
      <c r="O40" s="85">
        <f t="shared" si="3"/>
        <v>0</v>
      </c>
      <c r="P40" s="84">
        <f>IF(ISERROR(VLOOKUP(C40,Productos!A:H,8,FALSE)),0,VLOOKUP(C40,Productos!A:H,8,FALSE))</f>
        <v>0</v>
      </c>
      <c r="Q40" s="85">
        <f t="shared" si="4"/>
        <v>0</v>
      </c>
      <c r="R40" s="176">
        <f t="shared" si="5"/>
        <v>0</v>
      </c>
      <c r="S40" s="176"/>
      <c r="T40" s="133"/>
      <c r="U40" s="133"/>
      <c r="V40" s="133"/>
      <c r="W40" s="133"/>
      <c r="X40" s="133"/>
      <c r="Y40" s="133"/>
      <c r="Z40" s="133"/>
      <c r="AA40" s="133"/>
      <c r="AB40" s="133"/>
      <c r="AC40" s="133"/>
    </row>
    <row r="41" spans="1:29" s="134" customFormat="1" ht="12.75">
      <c r="A41" s="124"/>
      <c r="B41" s="79" t="str">
        <f>IF(D41 = "","",IF(ISERROR(VLOOKUP(C41,Productos!A:G,2,FALSE)),F5,IF(VLOOKUP(C41,Productos!A:G,2,FALSE)=0,F5,VLOOKUP(C41,Productos!A:G,2,FALSE))))</f>
        <v/>
      </c>
      <c r="C41" s="79"/>
      <c r="D41" s="178" t="str">
        <f>IF(ISERROR(VLOOKUP(C41,Productos!A:G,3,FALSE)),"",VLOOKUP(C41,Productos!A:G,3,FALSE))</f>
        <v/>
      </c>
      <c r="E41" s="178"/>
      <c r="F41" s="178"/>
      <c r="G41" s="177">
        <f>IF(ISERROR(VLOOKUP(C41,Productos!A:G,4,FALSE)),0,VLOOKUP(C41,Productos!A:G,4,FALSE))</f>
        <v>0</v>
      </c>
      <c r="H41" s="177"/>
      <c r="I41" s="80">
        <f t="shared" si="0"/>
        <v>0</v>
      </c>
      <c r="J41" s="81">
        <f>IF(ISERROR(VLOOKUP(C41,Productos!A:G,5,FALSE)),0,VLOOKUP(C41,Productos!A:G,5,FALSE))</f>
        <v>0</v>
      </c>
      <c r="K41" s="82">
        <f t="shared" si="1"/>
        <v>0</v>
      </c>
      <c r="L41" s="81">
        <f>IF(ISERROR(VLOOKUP(C41,Productos!A:G,6,FALSE)),0,VLOOKUP(C41,Productos!A:G,6,FALSE))</f>
        <v>0</v>
      </c>
      <c r="M41" s="83">
        <f t="shared" si="2"/>
        <v>0</v>
      </c>
      <c r="N41" s="84">
        <f>IF(ISERROR(VLOOKUP(C41,Productos!A:G,7,FALSE)),0,VLOOKUP(C41,Productos!A:G,7,FALSE))</f>
        <v>0</v>
      </c>
      <c r="O41" s="85">
        <f t="shared" si="3"/>
        <v>0</v>
      </c>
      <c r="P41" s="84">
        <f>IF(ISERROR(VLOOKUP(C41,Productos!A:H,8,FALSE)),0,VLOOKUP(C41,Productos!A:H,8,FALSE))</f>
        <v>0</v>
      </c>
      <c r="Q41" s="85">
        <f t="shared" si="4"/>
        <v>0</v>
      </c>
      <c r="R41" s="176">
        <f t="shared" si="5"/>
        <v>0</v>
      </c>
      <c r="S41" s="176"/>
      <c r="T41" s="133"/>
      <c r="U41" s="133"/>
      <c r="V41" s="133"/>
      <c r="W41" s="133"/>
      <c r="X41" s="133"/>
      <c r="Y41" s="133"/>
      <c r="Z41" s="133"/>
      <c r="AA41" s="133"/>
      <c r="AB41" s="133"/>
      <c r="AC41" s="133"/>
    </row>
    <row r="42" spans="1:29" s="134" customFormat="1" ht="12.75">
      <c r="A42" s="124"/>
      <c r="B42" s="79" t="str">
        <f>IF(D42 = "","",IF(ISERROR(VLOOKUP(C42,Productos!A:G,2,FALSE)),F5,IF(VLOOKUP(C42,Productos!A:G,2,FALSE)=0,F5,VLOOKUP(C42,Productos!A:G,2,FALSE))))</f>
        <v/>
      </c>
      <c r="C42" s="79"/>
      <c r="D42" s="178" t="str">
        <f>IF(ISERROR(VLOOKUP(C42,Productos!A:G,3,FALSE)),"",VLOOKUP(C42,Productos!A:G,3,FALSE))</f>
        <v/>
      </c>
      <c r="E42" s="178"/>
      <c r="F42" s="178"/>
      <c r="G42" s="177">
        <f>IF(ISERROR(VLOOKUP(C42,Productos!A:G,4,FALSE)),0,VLOOKUP(C42,Productos!A:G,4,FALSE))</f>
        <v>0</v>
      </c>
      <c r="H42" s="177"/>
      <c r="I42" s="80">
        <f t="shared" si="0"/>
        <v>0</v>
      </c>
      <c r="J42" s="81">
        <f>IF(ISERROR(VLOOKUP(C42,Productos!A:G,5,FALSE)),0,VLOOKUP(C42,Productos!A:G,5,FALSE))</f>
        <v>0</v>
      </c>
      <c r="K42" s="82">
        <f t="shared" si="1"/>
        <v>0</v>
      </c>
      <c r="L42" s="81">
        <f>IF(ISERROR(VLOOKUP(C42,Productos!A:G,6,FALSE)),0,VLOOKUP(C42,Productos!A:G,6,FALSE))</f>
        <v>0</v>
      </c>
      <c r="M42" s="83">
        <f t="shared" si="2"/>
        <v>0</v>
      </c>
      <c r="N42" s="84">
        <f>IF(ISERROR(VLOOKUP(C42,Productos!A:G,7,FALSE)),0,VLOOKUP(C42,Productos!A:G,7,FALSE))</f>
        <v>0</v>
      </c>
      <c r="O42" s="85">
        <f t="shared" si="3"/>
        <v>0</v>
      </c>
      <c r="P42" s="84">
        <f>IF(ISERROR(VLOOKUP(C42,Productos!A:H,8,FALSE)),0,VLOOKUP(C42,Productos!A:H,8,FALSE))</f>
        <v>0</v>
      </c>
      <c r="Q42" s="85">
        <f t="shared" si="4"/>
        <v>0</v>
      </c>
      <c r="R42" s="176">
        <f t="shared" si="5"/>
        <v>0</v>
      </c>
      <c r="S42" s="176"/>
      <c r="T42" s="133"/>
      <c r="U42" s="133"/>
      <c r="V42" s="133"/>
      <c r="W42" s="133"/>
      <c r="X42" s="133"/>
      <c r="Y42" s="133"/>
      <c r="Z42" s="133"/>
      <c r="AA42" s="133"/>
      <c r="AB42" s="133"/>
      <c r="AC42" s="133"/>
    </row>
    <row r="43" spans="1:29" s="134" customFormat="1" ht="12.75">
      <c r="A43" s="124"/>
      <c r="B43" s="79" t="str">
        <f>IF(D43 = "","",IF(ISERROR(VLOOKUP(C43,Productos!A:G,2,FALSE)),F5,IF(VLOOKUP(C43,Productos!A:G,2,FALSE)=0,F5,VLOOKUP(C43,Productos!A:G,2,FALSE))))</f>
        <v/>
      </c>
      <c r="C43" s="79"/>
      <c r="D43" s="178" t="str">
        <f>IF(ISERROR(VLOOKUP(C43,Productos!A:G,3,FALSE)),"",VLOOKUP(C43,Productos!A:G,3,FALSE))</f>
        <v/>
      </c>
      <c r="E43" s="178"/>
      <c r="F43" s="178"/>
      <c r="G43" s="177">
        <f>IF(ISERROR(VLOOKUP(C43,Productos!A:G,4,FALSE)),0,VLOOKUP(C43,Productos!A:G,4,FALSE))</f>
        <v>0</v>
      </c>
      <c r="H43" s="177"/>
      <c r="I43" s="80">
        <f t="shared" si="0"/>
        <v>0</v>
      </c>
      <c r="J43" s="81">
        <f>IF(ISERROR(VLOOKUP(C43,Productos!A:G,5,FALSE)),0,VLOOKUP(C43,Productos!A:G,5,FALSE))</f>
        <v>0</v>
      </c>
      <c r="K43" s="82">
        <f t="shared" si="1"/>
        <v>0</v>
      </c>
      <c r="L43" s="81">
        <f>IF(ISERROR(VLOOKUP(C43,Productos!A:G,6,FALSE)),0,VLOOKUP(C43,Productos!A:G,6,FALSE))</f>
        <v>0</v>
      </c>
      <c r="M43" s="83">
        <f t="shared" si="2"/>
        <v>0</v>
      </c>
      <c r="N43" s="84">
        <f>IF(ISERROR(VLOOKUP(C43,Productos!A:G,7,FALSE)),0,VLOOKUP(C43,Productos!A:G,7,FALSE))</f>
        <v>0</v>
      </c>
      <c r="O43" s="85">
        <f t="shared" si="3"/>
        <v>0</v>
      </c>
      <c r="P43" s="84">
        <f>IF(ISERROR(VLOOKUP(C43,Productos!A:H,8,FALSE)),0,VLOOKUP(C43,Productos!A:H,8,FALSE))</f>
        <v>0</v>
      </c>
      <c r="Q43" s="85">
        <f t="shared" si="4"/>
        <v>0</v>
      </c>
      <c r="R43" s="176">
        <f t="shared" si="5"/>
        <v>0</v>
      </c>
      <c r="S43" s="176"/>
      <c r="T43" s="133"/>
      <c r="U43" s="133"/>
      <c r="V43" s="133"/>
      <c r="W43" s="133"/>
      <c r="X43" s="133"/>
      <c r="Y43" s="133"/>
      <c r="Z43" s="133"/>
      <c r="AA43" s="133"/>
      <c r="AB43" s="133"/>
      <c r="AC43" s="133"/>
    </row>
    <row r="44" spans="1:29" s="134" customFormat="1" ht="12.75">
      <c r="A44" s="124"/>
      <c r="B44" s="79" t="str">
        <f>IF(D44 = "","",IF(ISERROR(VLOOKUP(C44,Productos!A:G,2,FALSE)),F5,IF(VLOOKUP(C44,Productos!A:G,2,FALSE)=0,F5,VLOOKUP(C44,Productos!A:G,2,FALSE))))</f>
        <v/>
      </c>
      <c r="C44" s="79"/>
      <c r="D44" s="178" t="str">
        <f>IF(ISERROR(VLOOKUP(C44,Productos!A:G,3,FALSE)),"",VLOOKUP(C44,Productos!A:G,3,FALSE))</f>
        <v/>
      </c>
      <c r="E44" s="178"/>
      <c r="F44" s="178"/>
      <c r="G44" s="177">
        <f>IF(ISERROR(VLOOKUP(C44,Productos!A:G,4,FALSE)),0,VLOOKUP(C44,Productos!A:G,4,FALSE))</f>
        <v>0</v>
      </c>
      <c r="H44" s="177"/>
      <c r="I44" s="80">
        <f t="shared" si="0"/>
        <v>0</v>
      </c>
      <c r="J44" s="81">
        <f>IF(ISERROR(VLOOKUP(C44,Productos!A:G,5,FALSE)),0,VLOOKUP(C44,Productos!A:G,5,FALSE))</f>
        <v>0</v>
      </c>
      <c r="K44" s="82">
        <f t="shared" si="1"/>
        <v>0</v>
      </c>
      <c r="L44" s="81">
        <f>IF(ISERROR(VLOOKUP(C44,Productos!A:G,6,FALSE)),0,VLOOKUP(C44,Productos!A:G,6,FALSE))</f>
        <v>0</v>
      </c>
      <c r="M44" s="83">
        <f t="shared" si="2"/>
        <v>0</v>
      </c>
      <c r="N44" s="84">
        <f>IF(ISERROR(VLOOKUP(C44,Productos!A:G,7,FALSE)),0,VLOOKUP(C44,Productos!A:G,7,FALSE))</f>
        <v>0</v>
      </c>
      <c r="O44" s="85">
        <f t="shared" si="3"/>
        <v>0</v>
      </c>
      <c r="P44" s="84">
        <f>IF(ISERROR(VLOOKUP(C44,Productos!A:H,8,FALSE)),0,VLOOKUP(C44,Productos!A:H,8,FALSE))</f>
        <v>0</v>
      </c>
      <c r="Q44" s="85">
        <f t="shared" si="4"/>
        <v>0</v>
      </c>
      <c r="R44" s="176">
        <f t="shared" si="5"/>
        <v>0</v>
      </c>
      <c r="S44" s="176"/>
      <c r="T44" s="133"/>
      <c r="U44" s="133"/>
      <c r="V44" s="133"/>
      <c r="W44" s="133"/>
      <c r="X44" s="133"/>
      <c r="Y44" s="133"/>
      <c r="Z44" s="133"/>
      <c r="AA44" s="133"/>
      <c r="AB44" s="133"/>
      <c r="AC44" s="133"/>
    </row>
    <row r="45" spans="1:29" s="134" customFormat="1" ht="12.75">
      <c r="A45" s="124"/>
      <c r="B45" s="79" t="str">
        <f>IF(D45 = "","",IF(ISERROR(VLOOKUP(C45,Productos!A:G,2,FALSE)),F5,IF(VLOOKUP(C45,Productos!A:G,2,FALSE)=0,F5,VLOOKUP(C45,Productos!A:G,2,FALSE))))</f>
        <v/>
      </c>
      <c r="C45" s="79"/>
      <c r="D45" s="178" t="str">
        <f>IF(ISERROR(VLOOKUP(C45,Productos!A:G,3,FALSE)),"",VLOOKUP(C45,Productos!A:G,3,FALSE))</f>
        <v/>
      </c>
      <c r="E45" s="178"/>
      <c r="F45" s="178"/>
      <c r="G45" s="177">
        <f>IF(ISERROR(VLOOKUP(C45,Productos!A:G,4,FALSE)),0,VLOOKUP(C45,Productos!A:G,4,FALSE))</f>
        <v>0</v>
      </c>
      <c r="H45" s="177"/>
      <c r="I45" s="80">
        <f t="shared" si="0"/>
        <v>0</v>
      </c>
      <c r="J45" s="81">
        <f>IF(ISERROR(VLOOKUP(C45,Productos!A:G,5,FALSE)),0,VLOOKUP(C45,Productos!A:G,5,FALSE))</f>
        <v>0</v>
      </c>
      <c r="K45" s="82">
        <f t="shared" si="1"/>
        <v>0</v>
      </c>
      <c r="L45" s="81">
        <f>IF(ISERROR(VLOOKUP(C45,Productos!A:G,6,FALSE)),0,VLOOKUP(C45,Productos!A:G,6,FALSE))</f>
        <v>0</v>
      </c>
      <c r="M45" s="83">
        <f t="shared" si="2"/>
        <v>0</v>
      </c>
      <c r="N45" s="84">
        <f>IF(ISERROR(VLOOKUP(C45,Productos!A:G,7,FALSE)),0,VLOOKUP(C45,Productos!A:G,7,FALSE))</f>
        <v>0</v>
      </c>
      <c r="O45" s="85">
        <f t="shared" si="3"/>
        <v>0</v>
      </c>
      <c r="P45" s="84">
        <f>IF(ISERROR(VLOOKUP(C45,Productos!A:H,8,FALSE)),0,VLOOKUP(C45,Productos!A:H,8,FALSE))</f>
        <v>0</v>
      </c>
      <c r="Q45" s="85">
        <f t="shared" si="4"/>
        <v>0</v>
      </c>
      <c r="R45" s="176">
        <f t="shared" si="5"/>
        <v>0</v>
      </c>
      <c r="S45" s="176"/>
      <c r="T45" s="133"/>
      <c r="U45" s="133"/>
      <c r="V45" s="133"/>
      <c r="W45" s="133"/>
      <c r="X45" s="133"/>
      <c r="Y45" s="133"/>
      <c r="Z45" s="133"/>
      <c r="AA45" s="133"/>
      <c r="AB45" s="133"/>
      <c r="AC45" s="133"/>
    </row>
    <row r="46" spans="1:29" s="134" customFormat="1" ht="12.75">
      <c r="A46" s="124"/>
      <c r="B46" s="79" t="str">
        <f>IF(D46 = "","",IF(ISERROR(VLOOKUP(C46,Productos!A:G,2,FALSE)),F5,IF(VLOOKUP(C46,Productos!A:G,2,FALSE)=0,F5,VLOOKUP(C46,Productos!A:G,2,FALSE))))</f>
        <v/>
      </c>
      <c r="C46" s="79"/>
      <c r="D46" s="178" t="str">
        <f>IF(ISERROR(VLOOKUP(C46,Productos!A:G,3,FALSE)),"",VLOOKUP(C46,Productos!A:G,3,FALSE))</f>
        <v/>
      </c>
      <c r="E46" s="178"/>
      <c r="F46" s="178"/>
      <c r="G46" s="177">
        <f>IF(ISERROR(VLOOKUP(C46,Productos!A:G,4,FALSE)),0,VLOOKUP(C46,Productos!A:G,4,FALSE))</f>
        <v>0</v>
      </c>
      <c r="H46" s="177"/>
      <c r="I46" s="80">
        <f t="shared" si="0"/>
        <v>0</v>
      </c>
      <c r="J46" s="81">
        <f>IF(ISERROR(VLOOKUP(C46,Productos!A:G,5,FALSE)),0,VLOOKUP(C46,Productos!A:G,5,FALSE))</f>
        <v>0</v>
      </c>
      <c r="K46" s="82">
        <f t="shared" si="1"/>
        <v>0</v>
      </c>
      <c r="L46" s="81">
        <f>IF(ISERROR(VLOOKUP(C46,Productos!A:G,6,FALSE)),0,VLOOKUP(C46,Productos!A:G,6,FALSE))</f>
        <v>0</v>
      </c>
      <c r="M46" s="83">
        <f t="shared" si="2"/>
        <v>0</v>
      </c>
      <c r="N46" s="84">
        <f>IF(ISERROR(VLOOKUP(C46,Productos!A:G,7,FALSE)),0,VLOOKUP(C46,Productos!A:G,7,FALSE))</f>
        <v>0</v>
      </c>
      <c r="O46" s="85">
        <f t="shared" si="3"/>
        <v>0</v>
      </c>
      <c r="P46" s="84">
        <f>IF(ISERROR(VLOOKUP(C46,Productos!A:H,8,FALSE)),0,VLOOKUP(C46,Productos!A:H,8,FALSE))</f>
        <v>0</v>
      </c>
      <c r="Q46" s="85">
        <f t="shared" si="4"/>
        <v>0</v>
      </c>
      <c r="R46" s="176">
        <f t="shared" si="5"/>
        <v>0</v>
      </c>
      <c r="S46" s="176"/>
      <c r="T46" s="133"/>
      <c r="U46" s="133"/>
      <c r="V46" s="133"/>
      <c r="W46" s="133"/>
      <c r="X46" s="133"/>
      <c r="Y46" s="133"/>
      <c r="Z46" s="133"/>
      <c r="AA46" s="133"/>
      <c r="AB46" s="133"/>
      <c r="AC46" s="133"/>
    </row>
    <row r="47" spans="1:29" s="134" customFormat="1" ht="12.75">
      <c r="A47" s="124"/>
      <c r="B47" s="79" t="str">
        <f>IF(D47 = "","",IF(ISERROR(VLOOKUP(C47,Productos!A:G,2,FALSE)),F5,IF(VLOOKUP(C47,Productos!A:G,2,FALSE)=0,F5,VLOOKUP(C47,Productos!A:G,2,FALSE))))</f>
        <v/>
      </c>
      <c r="C47" s="79"/>
      <c r="D47" s="178" t="str">
        <f>IF(ISERROR(VLOOKUP(C47,Productos!A:G,3,FALSE)),"",VLOOKUP(C47,Productos!A:G,3,FALSE))</f>
        <v/>
      </c>
      <c r="E47" s="178"/>
      <c r="F47" s="178"/>
      <c r="G47" s="177">
        <f>IF(ISERROR(VLOOKUP(C47,Productos!A:G,4,FALSE)),0,VLOOKUP(C47,Productos!A:G,4,FALSE))</f>
        <v>0</v>
      </c>
      <c r="H47" s="177"/>
      <c r="I47" s="80">
        <f t="shared" si="0"/>
        <v>0</v>
      </c>
      <c r="J47" s="81">
        <f>IF(ISERROR(VLOOKUP(C47,Productos!A:G,5,FALSE)),0,VLOOKUP(C47,Productos!A:G,5,FALSE))</f>
        <v>0</v>
      </c>
      <c r="K47" s="82">
        <f t="shared" si="1"/>
        <v>0</v>
      </c>
      <c r="L47" s="81">
        <f>IF(ISERROR(VLOOKUP(C47,Productos!A:G,6,FALSE)),0,VLOOKUP(C47,Productos!A:G,6,FALSE))</f>
        <v>0</v>
      </c>
      <c r="M47" s="83">
        <f t="shared" si="2"/>
        <v>0</v>
      </c>
      <c r="N47" s="84">
        <f>IF(ISERROR(VLOOKUP(C47,Productos!A:G,7,FALSE)),0,VLOOKUP(C47,Productos!A:G,7,FALSE))</f>
        <v>0</v>
      </c>
      <c r="O47" s="85">
        <f t="shared" si="3"/>
        <v>0</v>
      </c>
      <c r="P47" s="84">
        <f>IF(ISERROR(VLOOKUP(C47,Productos!A:H,8,FALSE)),0,VLOOKUP(C47,Productos!A:H,8,FALSE))</f>
        <v>0</v>
      </c>
      <c r="Q47" s="85">
        <f t="shared" si="4"/>
        <v>0</v>
      </c>
      <c r="R47" s="176">
        <f t="shared" si="5"/>
        <v>0</v>
      </c>
      <c r="S47" s="176"/>
      <c r="T47" s="133"/>
      <c r="U47" s="133"/>
      <c r="V47" s="133"/>
      <c r="W47" s="133"/>
      <c r="X47" s="133"/>
      <c r="Y47" s="133"/>
      <c r="Z47" s="133"/>
      <c r="AA47" s="133"/>
      <c r="AB47" s="133"/>
      <c r="AC47" s="133"/>
    </row>
    <row r="48" spans="1:29" s="134" customFormat="1" ht="12.75">
      <c r="A48" s="124"/>
      <c r="B48" s="79" t="str">
        <f>IF(D48 = "","",IF(ISERROR(VLOOKUP(C48,Productos!A:G,2,FALSE)),F5,IF(VLOOKUP(C48,Productos!A:G,2,FALSE)=0,F5,VLOOKUP(C48,Productos!A:G,2,FALSE))))</f>
        <v/>
      </c>
      <c r="C48" s="79"/>
      <c r="D48" s="178" t="str">
        <f>IF(ISERROR(VLOOKUP(C48,Productos!A:G,3,FALSE)),"",VLOOKUP(C48,Productos!A:G,3,FALSE))</f>
        <v/>
      </c>
      <c r="E48" s="178"/>
      <c r="F48" s="178"/>
      <c r="G48" s="177">
        <f>IF(ISERROR(VLOOKUP(C48,Productos!A:G,4,FALSE)),0,VLOOKUP(C48,Productos!A:G,4,FALSE))</f>
        <v>0</v>
      </c>
      <c r="H48" s="177"/>
      <c r="I48" s="80">
        <f t="shared" si="0"/>
        <v>0</v>
      </c>
      <c r="J48" s="81">
        <f>IF(ISERROR(VLOOKUP(C48,Productos!A:G,5,FALSE)),0,VLOOKUP(C48,Productos!A:G,5,FALSE))</f>
        <v>0</v>
      </c>
      <c r="K48" s="82">
        <f t="shared" si="1"/>
        <v>0</v>
      </c>
      <c r="L48" s="81">
        <f>IF(ISERROR(VLOOKUP(C48,Productos!A:G,6,FALSE)),0,VLOOKUP(C48,Productos!A:G,6,FALSE))</f>
        <v>0</v>
      </c>
      <c r="M48" s="83">
        <f t="shared" si="2"/>
        <v>0</v>
      </c>
      <c r="N48" s="84">
        <f>IF(ISERROR(VLOOKUP(C48,Productos!A:G,7,FALSE)),0,VLOOKUP(C48,Productos!A:G,7,FALSE))</f>
        <v>0</v>
      </c>
      <c r="O48" s="85">
        <f t="shared" si="3"/>
        <v>0</v>
      </c>
      <c r="P48" s="84">
        <f>IF(ISERROR(VLOOKUP(C48,Productos!A:H,8,FALSE)),0,VLOOKUP(C48,Productos!A:H,8,FALSE))</f>
        <v>0</v>
      </c>
      <c r="Q48" s="85">
        <f t="shared" si="4"/>
        <v>0</v>
      </c>
      <c r="R48" s="176">
        <f t="shared" si="5"/>
        <v>0</v>
      </c>
      <c r="S48" s="176"/>
      <c r="T48" s="133"/>
      <c r="U48" s="133"/>
      <c r="V48" s="133"/>
      <c r="W48" s="133"/>
      <c r="X48" s="133"/>
      <c r="Y48" s="133"/>
      <c r="Z48" s="133"/>
      <c r="AA48" s="133"/>
      <c r="AB48" s="133"/>
      <c r="AC48" s="133"/>
    </row>
    <row r="49" spans="1:29" s="134" customFormat="1" ht="12.75">
      <c r="A49" s="124"/>
      <c r="B49" s="79" t="str">
        <f>IF(D49 = "","",IF(ISERROR(VLOOKUP(C49,Productos!A:G,2,FALSE)),F5,IF(VLOOKUP(C49,Productos!A:G,2,FALSE)=0,F5,VLOOKUP(C49,Productos!A:G,2,FALSE))))</f>
        <v/>
      </c>
      <c r="C49" s="79"/>
      <c r="D49" s="178" t="str">
        <f>IF(ISERROR(VLOOKUP(C49,Productos!A:G,3,FALSE)),"",VLOOKUP(C49,Productos!A:G,3,FALSE))</f>
        <v/>
      </c>
      <c r="E49" s="178"/>
      <c r="F49" s="178"/>
      <c r="G49" s="177">
        <f>IF(ISERROR(VLOOKUP(C49,Productos!A:G,4,FALSE)),0,VLOOKUP(C49,Productos!A:G,4,FALSE))</f>
        <v>0</v>
      </c>
      <c r="H49" s="177"/>
      <c r="I49" s="80">
        <f t="shared" si="0"/>
        <v>0</v>
      </c>
      <c r="J49" s="81">
        <f>IF(ISERROR(VLOOKUP(C49,Productos!A:G,5,FALSE)),0,VLOOKUP(C49,Productos!A:G,5,FALSE))</f>
        <v>0</v>
      </c>
      <c r="K49" s="82">
        <f t="shared" si="1"/>
        <v>0</v>
      </c>
      <c r="L49" s="81">
        <f>IF(ISERROR(VLOOKUP(C49,Productos!A:G,6,FALSE)),0,VLOOKUP(C49,Productos!A:G,6,FALSE))</f>
        <v>0</v>
      </c>
      <c r="M49" s="83">
        <f t="shared" si="2"/>
        <v>0</v>
      </c>
      <c r="N49" s="84">
        <f>IF(ISERROR(VLOOKUP(C49,Productos!A:G,7,FALSE)),0,VLOOKUP(C49,Productos!A:G,7,FALSE))</f>
        <v>0</v>
      </c>
      <c r="O49" s="85">
        <f t="shared" si="3"/>
        <v>0</v>
      </c>
      <c r="P49" s="84">
        <f>IF(ISERROR(VLOOKUP(C49,Productos!A:H,8,FALSE)),0,VLOOKUP(C49,Productos!A:H,8,FALSE))</f>
        <v>0</v>
      </c>
      <c r="Q49" s="85">
        <f t="shared" si="4"/>
        <v>0</v>
      </c>
      <c r="R49" s="176">
        <f t="shared" si="5"/>
        <v>0</v>
      </c>
      <c r="S49" s="176"/>
      <c r="T49" s="133"/>
      <c r="U49" s="133"/>
      <c r="V49" s="133"/>
      <c r="W49" s="133"/>
      <c r="X49" s="133"/>
      <c r="Y49" s="133"/>
      <c r="Z49" s="133"/>
      <c r="AA49" s="133"/>
      <c r="AB49" s="133"/>
      <c r="AC49" s="133"/>
    </row>
    <row r="50" spans="1:29" s="46" customFormat="1" ht="12.75">
      <c r="A50" s="124"/>
      <c r="B50" s="79" t="str">
        <f>IF(D50 = "","",IF(ISERROR(VLOOKUP(C50,Productos!A:G,2,FALSE)),F5,IF(VLOOKUP(C50,Productos!A:G,2,FALSE)=0,F5,VLOOKUP(C50,Productos!A:G,2,FALSE))))</f>
        <v/>
      </c>
      <c r="C50" s="79"/>
      <c r="D50" s="178" t="str">
        <f>IF(ISERROR(VLOOKUP(C50,Productos!A:G,3,FALSE)),"",VLOOKUP(C50,Productos!A:G,3,FALSE))</f>
        <v/>
      </c>
      <c r="E50" s="178"/>
      <c r="F50" s="178"/>
      <c r="G50" s="177">
        <f>IF(ISERROR(VLOOKUP(C50,Productos!A:G,4,FALSE)),0,VLOOKUP(C50,Productos!A:G,4,FALSE))</f>
        <v>0</v>
      </c>
      <c r="H50" s="177"/>
      <c r="I50" s="80">
        <f t="shared" si="0"/>
        <v>0</v>
      </c>
      <c r="J50" s="81">
        <f>IF(ISERROR(VLOOKUP(C50,Productos!A:G,5,FALSE)),0,VLOOKUP(C50,Productos!A:G,5,FALSE))</f>
        <v>0</v>
      </c>
      <c r="K50" s="82">
        <f t="shared" si="1"/>
        <v>0</v>
      </c>
      <c r="L50" s="81">
        <f>IF(ISERROR(VLOOKUP(C50,Productos!A:G,6,FALSE)),0,VLOOKUP(C50,Productos!A:G,6,FALSE))</f>
        <v>0</v>
      </c>
      <c r="M50" s="83">
        <f t="shared" si="2"/>
        <v>0</v>
      </c>
      <c r="N50" s="84">
        <f>IF(ISERROR(VLOOKUP(C50,Productos!A:G,7,FALSE)),0,VLOOKUP(C50,Productos!A:G,7,FALSE))</f>
        <v>0</v>
      </c>
      <c r="O50" s="85">
        <f t="shared" si="3"/>
        <v>0</v>
      </c>
      <c r="P50" s="84">
        <f>IF(ISERROR(VLOOKUP(C50,Productos!A:H,8,FALSE)),0,VLOOKUP(C50,Productos!A:H,8,FALSE))</f>
        <v>0</v>
      </c>
      <c r="Q50" s="85">
        <f t="shared" si="4"/>
        <v>0</v>
      </c>
      <c r="R50" s="176">
        <f t="shared" si="5"/>
        <v>0</v>
      </c>
      <c r="S50" s="176"/>
      <c r="T50" s="45"/>
      <c r="U50" s="45"/>
      <c r="V50" s="45"/>
      <c r="W50" s="45"/>
      <c r="X50" s="45"/>
      <c r="Y50" s="45"/>
      <c r="Z50" s="45"/>
      <c r="AA50" s="45"/>
      <c r="AB50" s="45"/>
      <c r="AC50" s="45"/>
    </row>
    <row r="51" spans="1:29" s="46" customFormat="1" ht="12.75">
      <c r="A51" s="124"/>
      <c r="B51" s="79" t="str">
        <f>IF(D51 = "","",IF(ISERROR(VLOOKUP(C51,Productos!A:G,2,FALSE)),F5,IF(VLOOKUP(C51,Productos!A:G,2,FALSE)=0,F5,VLOOKUP(C51,Productos!A:G,2,FALSE))))</f>
        <v/>
      </c>
      <c r="C51" s="79"/>
      <c r="D51" s="178" t="str">
        <f>IF(ISERROR(VLOOKUP(C51,Productos!A:G,3,FALSE)),"",VLOOKUP(C51,Productos!A:G,3,FALSE))</f>
        <v/>
      </c>
      <c r="E51" s="178"/>
      <c r="F51" s="178"/>
      <c r="G51" s="177">
        <f>IF(ISERROR(VLOOKUP(C51,Productos!A:G,4,FALSE)),0,VLOOKUP(C51,Productos!A:G,4,FALSE))</f>
        <v>0</v>
      </c>
      <c r="H51" s="177"/>
      <c r="I51" s="80">
        <f t="shared" si="0"/>
        <v>0</v>
      </c>
      <c r="J51" s="81">
        <f>IF(ISERROR(VLOOKUP(C51,Productos!A:G,5,FALSE)),0,VLOOKUP(C51,Productos!A:G,5,FALSE))</f>
        <v>0</v>
      </c>
      <c r="K51" s="82">
        <f t="shared" si="1"/>
        <v>0</v>
      </c>
      <c r="L51" s="81">
        <f>IF(ISERROR(VLOOKUP(C51,Productos!A:G,6,FALSE)),0,VLOOKUP(C51,Productos!A:G,6,FALSE))</f>
        <v>0</v>
      </c>
      <c r="M51" s="83">
        <f t="shared" si="2"/>
        <v>0</v>
      </c>
      <c r="N51" s="84">
        <f>IF(ISERROR(VLOOKUP(C51,Productos!A:G,7,FALSE)),0,VLOOKUP(C51,Productos!A:G,7,FALSE))</f>
        <v>0</v>
      </c>
      <c r="O51" s="85">
        <f t="shared" si="3"/>
        <v>0</v>
      </c>
      <c r="P51" s="84">
        <f>IF(ISERROR(VLOOKUP(C51,Productos!A:H,8,FALSE)),0,VLOOKUP(C51,Productos!A:H,8,FALSE))</f>
        <v>0</v>
      </c>
      <c r="Q51" s="85">
        <f t="shared" si="4"/>
        <v>0</v>
      </c>
      <c r="R51" s="176">
        <f t="shared" si="5"/>
        <v>0</v>
      </c>
      <c r="S51" s="176"/>
      <c r="T51" s="45"/>
      <c r="U51" s="45"/>
      <c r="V51" s="45"/>
      <c r="W51" s="45"/>
      <c r="X51" s="45"/>
      <c r="Y51" s="45"/>
      <c r="Z51" s="45"/>
      <c r="AA51" s="45"/>
      <c r="AB51" s="45"/>
      <c r="AC51" s="45"/>
    </row>
    <row r="52" spans="1:29" s="46" customFormat="1" ht="12.75">
      <c r="A52" s="124"/>
      <c r="B52" s="79" t="str">
        <f>IF(D52 = "","",IF(ISERROR(VLOOKUP(C52,Productos!A:G,2,FALSE)),F5,IF(VLOOKUP(C52,Productos!A:G,2,FALSE)=0,F5,VLOOKUP(C52,Productos!A:G,2,FALSE))))</f>
        <v/>
      </c>
      <c r="C52" s="79"/>
      <c r="D52" s="178" t="str">
        <f>IF(ISERROR(VLOOKUP(C52,Productos!A:G,3,FALSE)),"",VLOOKUP(C52,Productos!A:G,3,FALSE))</f>
        <v/>
      </c>
      <c r="E52" s="178"/>
      <c r="F52" s="178"/>
      <c r="G52" s="177">
        <f>IF(ISERROR(VLOOKUP(C52,Productos!A:G,4,FALSE)),0,VLOOKUP(C52,Productos!A:G,4,FALSE))</f>
        <v>0</v>
      </c>
      <c r="H52" s="177"/>
      <c r="I52" s="80">
        <f t="shared" si="0"/>
        <v>0</v>
      </c>
      <c r="J52" s="81">
        <f>IF(ISERROR(VLOOKUP(C52,Productos!A:G,5,FALSE)),0,VLOOKUP(C52,Productos!A:G,5,FALSE))</f>
        <v>0</v>
      </c>
      <c r="K52" s="82">
        <f t="shared" si="1"/>
        <v>0</v>
      </c>
      <c r="L52" s="81">
        <f>IF(ISERROR(VLOOKUP(C52,Productos!A:G,6,FALSE)),0,VLOOKUP(C52,Productos!A:G,6,FALSE))</f>
        <v>0</v>
      </c>
      <c r="M52" s="83">
        <f t="shared" si="2"/>
        <v>0</v>
      </c>
      <c r="N52" s="84">
        <f>IF(ISERROR(VLOOKUP(C52,Productos!A:G,7,FALSE)),0,VLOOKUP(C52,Productos!A:G,7,FALSE))</f>
        <v>0</v>
      </c>
      <c r="O52" s="85">
        <f t="shared" si="3"/>
        <v>0</v>
      </c>
      <c r="P52" s="84">
        <f>IF(ISERROR(VLOOKUP(C52,Productos!A:H,8,FALSE)),0,VLOOKUP(C52,Productos!A:H,8,FALSE))</f>
        <v>0</v>
      </c>
      <c r="Q52" s="85">
        <f t="shared" si="4"/>
        <v>0</v>
      </c>
      <c r="R52" s="176">
        <f t="shared" si="5"/>
        <v>0</v>
      </c>
      <c r="S52" s="176"/>
      <c r="T52" s="45"/>
      <c r="U52" s="45"/>
      <c r="V52" s="45"/>
      <c r="W52" s="45"/>
      <c r="X52" s="45"/>
      <c r="Y52" s="45"/>
      <c r="Z52" s="45"/>
      <c r="AA52" s="45"/>
      <c r="AB52" s="45"/>
      <c r="AC52" s="45"/>
    </row>
    <row r="53" spans="1:29" s="46" customFormat="1" ht="12.75">
      <c r="A53" s="124"/>
      <c r="B53" s="79" t="str">
        <f>IF(D53 = "","",IF(ISERROR(VLOOKUP(C53,Productos!A:G,2,FALSE)),F5,IF(VLOOKUP(C53,Productos!A:G,2,FALSE)=0,F5,VLOOKUP(C53,Productos!A:G,2,FALSE))))</f>
        <v/>
      </c>
      <c r="C53" s="79"/>
      <c r="D53" s="178" t="str">
        <f>IF(ISERROR(VLOOKUP(C53,Productos!A:G,3,FALSE)),"",VLOOKUP(C53,Productos!A:G,3,FALSE))</f>
        <v/>
      </c>
      <c r="E53" s="178"/>
      <c r="F53" s="178"/>
      <c r="G53" s="177">
        <f>IF(ISERROR(VLOOKUP(C53,Productos!A:G,4,FALSE)),0,VLOOKUP(C53,Productos!A:G,4,FALSE))</f>
        <v>0</v>
      </c>
      <c r="H53" s="177"/>
      <c r="I53" s="80">
        <f t="shared" si="0"/>
        <v>0</v>
      </c>
      <c r="J53" s="81">
        <f>IF(ISERROR(VLOOKUP(C53,Productos!A:G,5,FALSE)),0,VLOOKUP(C53,Productos!A:G,5,FALSE))</f>
        <v>0</v>
      </c>
      <c r="K53" s="82">
        <f t="shared" si="1"/>
        <v>0</v>
      </c>
      <c r="L53" s="81">
        <f>IF(ISERROR(VLOOKUP(C53,Productos!A:G,6,FALSE)),0,VLOOKUP(C53,Productos!A:G,6,FALSE))</f>
        <v>0</v>
      </c>
      <c r="M53" s="83">
        <f t="shared" si="2"/>
        <v>0</v>
      </c>
      <c r="N53" s="84">
        <f>IF(ISERROR(VLOOKUP(C53,Productos!A:G,7,FALSE)),0,VLOOKUP(C53,Productos!A:G,7,FALSE))</f>
        <v>0</v>
      </c>
      <c r="O53" s="85">
        <f t="shared" si="3"/>
        <v>0</v>
      </c>
      <c r="P53" s="84">
        <f>IF(ISERROR(VLOOKUP(C53,Productos!A:H,8,FALSE)),0,VLOOKUP(C53,Productos!A:H,8,FALSE))</f>
        <v>0</v>
      </c>
      <c r="Q53" s="85">
        <f t="shared" si="4"/>
        <v>0</v>
      </c>
      <c r="R53" s="176">
        <f t="shared" si="5"/>
        <v>0</v>
      </c>
      <c r="S53" s="176"/>
      <c r="T53" s="45"/>
      <c r="U53" s="45"/>
      <c r="V53" s="45"/>
      <c r="W53" s="45"/>
      <c r="X53" s="45"/>
      <c r="Y53" s="45"/>
      <c r="Z53" s="45"/>
      <c r="AA53" s="45"/>
      <c r="AB53" s="45"/>
      <c r="AC53" s="45"/>
    </row>
    <row r="54" spans="1:29" s="46" customFormat="1" ht="12.75">
      <c r="A54" s="124"/>
      <c r="B54" s="79" t="str">
        <f>IF(D54 = "","",IF(ISERROR(VLOOKUP(C54,Productos!A:G,2,FALSE)),F5,IF(VLOOKUP(C54,Productos!A:G,2,FALSE)=0,F5,VLOOKUP(C54,Productos!A:G,2,FALSE))))</f>
        <v/>
      </c>
      <c r="C54" s="79"/>
      <c r="D54" s="178" t="str">
        <f>IF(ISERROR(VLOOKUP(C54,Productos!A:G,3,FALSE)),"",VLOOKUP(C54,Productos!A:G,3,FALSE))</f>
        <v/>
      </c>
      <c r="E54" s="178"/>
      <c r="F54" s="178"/>
      <c r="G54" s="177">
        <f>IF(ISERROR(VLOOKUP(C54,Productos!A:G,4,FALSE)),0,VLOOKUP(C54,Productos!A:G,4,FALSE))</f>
        <v>0</v>
      </c>
      <c r="H54" s="177"/>
      <c r="I54" s="80">
        <f t="shared" si="0"/>
        <v>0</v>
      </c>
      <c r="J54" s="81">
        <f>IF(ISERROR(VLOOKUP(C54,Productos!A:G,5,FALSE)),0,VLOOKUP(C54,Productos!A:G,5,FALSE))</f>
        <v>0</v>
      </c>
      <c r="K54" s="82">
        <f t="shared" si="1"/>
        <v>0</v>
      </c>
      <c r="L54" s="81">
        <f>IF(ISERROR(VLOOKUP(C54,Productos!A:G,6,FALSE)),0,VLOOKUP(C54,Productos!A:G,6,FALSE))</f>
        <v>0</v>
      </c>
      <c r="M54" s="83">
        <f t="shared" si="2"/>
        <v>0</v>
      </c>
      <c r="N54" s="84">
        <f>IF(ISERROR(VLOOKUP(C54,Productos!A:G,7,FALSE)),0,VLOOKUP(C54,Productos!A:G,7,FALSE))</f>
        <v>0</v>
      </c>
      <c r="O54" s="85">
        <f t="shared" si="3"/>
        <v>0</v>
      </c>
      <c r="P54" s="84">
        <f>IF(ISERROR(VLOOKUP(C54,Productos!A:H,8,FALSE)),0,VLOOKUP(C54,Productos!A:H,8,FALSE))</f>
        <v>0</v>
      </c>
      <c r="Q54" s="85">
        <f t="shared" si="4"/>
        <v>0</v>
      </c>
      <c r="R54" s="176">
        <f t="shared" si="5"/>
        <v>0</v>
      </c>
      <c r="S54" s="176"/>
      <c r="T54" s="45"/>
      <c r="U54" s="45"/>
      <c r="V54" s="45"/>
      <c r="W54" s="45"/>
      <c r="X54" s="45"/>
      <c r="Y54" s="45"/>
      <c r="Z54" s="45"/>
      <c r="AA54" s="45"/>
      <c r="AB54" s="45"/>
      <c r="AC54" s="45"/>
    </row>
    <row r="55" spans="1:29" s="46" customFormat="1" ht="12.75">
      <c r="A55" s="124"/>
      <c r="B55" s="79" t="str">
        <f>IF(D55 = "","",IF(ISERROR(VLOOKUP(C55,Productos!A:G,2,FALSE)),F5,IF(VLOOKUP(C55,Productos!A:G,2,FALSE)=0,F5,VLOOKUP(C55,Productos!A:G,2,FALSE))))</f>
        <v/>
      </c>
      <c r="C55" s="79"/>
      <c r="D55" s="178" t="str">
        <f>IF(ISERROR(VLOOKUP(C55,Productos!A:G,3,FALSE)),"",VLOOKUP(C55,Productos!A:G,3,FALSE))</f>
        <v/>
      </c>
      <c r="E55" s="178"/>
      <c r="F55" s="178"/>
      <c r="G55" s="177">
        <f>IF(ISERROR(VLOOKUP(C55,Productos!A:G,4,FALSE)),0,VLOOKUP(C55,Productos!A:G,4,FALSE))</f>
        <v>0</v>
      </c>
      <c r="H55" s="177"/>
      <c r="I55" s="80">
        <f t="shared" si="0"/>
        <v>0</v>
      </c>
      <c r="J55" s="81">
        <f>IF(ISERROR(VLOOKUP(C55,Productos!A:G,5,FALSE)),0,VLOOKUP(C55,Productos!A:G,5,FALSE))</f>
        <v>0</v>
      </c>
      <c r="K55" s="82">
        <f t="shared" si="1"/>
        <v>0</v>
      </c>
      <c r="L55" s="81">
        <f>IF(ISERROR(VLOOKUP(C55,Productos!A:G,6,FALSE)),0,VLOOKUP(C55,Productos!A:G,6,FALSE))</f>
        <v>0</v>
      </c>
      <c r="M55" s="83">
        <f t="shared" si="2"/>
        <v>0</v>
      </c>
      <c r="N55" s="84">
        <f>IF(ISERROR(VLOOKUP(C55,Productos!A:G,7,FALSE)),0,VLOOKUP(C55,Productos!A:G,7,FALSE))</f>
        <v>0</v>
      </c>
      <c r="O55" s="85">
        <f t="shared" si="3"/>
        <v>0</v>
      </c>
      <c r="P55" s="84">
        <f>IF(ISERROR(VLOOKUP(C55,Productos!A:H,8,FALSE)),0,VLOOKUP(C55,Productos!A:H,8,FALSE))</f>
        <v>0</v>
      </c>
      <c r="Q55" s="85">
        <f t="shared" si="4"/>
        <v>0</v>
      </c>
      <c r="R55" s="176">
        <f t="shared" si="5"/>
        <v>0</v>
      </c>
      <c r="S55" s="176"/>
      <c r="T55" s="45"/>
      <c r="U55" s="45"/>
      <c r="V55" s="45"/>
      <c r="W55" s="45"/>
      <c r="X55" s="45"/>
      <c r="Y55" s="45"/>
      <c r="Z55" s="45"/>
      <c r="AA55" s="45"/>
      <c r="AB55" s="45"/>
      <c r="AC55" s="45"/>
    </row>
    <row r="56" spans="1:29" s="46" customFormat="1" ht="12.75">
      <c r="A56" s="124"/>
      <c r="B56" s="79" t="str">
        <f>IF(D56 = "","",IF(ISERROR(VLOOKUP(C56,Productos!A:G,2,FALSE)),F5,IF(VLOOKUP(C56,Productos!A:G,2,FALSE)=0,F5,VLOOKUP(C56,Productos!A:G,2,FALSE))))</f>
        <v/>
      </c>
      <c r="C56" s="79"/>
      <c r="D56" s="178" t="str">
        <f>IF(ISERROR(VLOOKUP(C56,Productos!A:G,3,FALSE)),"",VLOOKUP(C56,Productos!A:G,3,FALSE))</f>
        <v/>
      </c>
      <c r="E56" s="178"/>
      <c r="F56" s="178"/>
      <c r="G56" s="177">
        <f>IF(ISERROR(VLOOKUP(C56,Productos!A:G,4,FALSE)),0,VLOOKUP(C56,Productos!A:G,4,FALSE))</f>
        <v>0</v>
      </c>
      <c r="H56" s="177"/>
      <c r="I56" s="80">
        <f t="shared" si="0"/>
        <v>0</v>
      </c>
      <c r="J56" s="81">
        <f>IF(ISERROR(VLOOKUP(C56,Productos!A:G,5,FALSE)),0,VLOOKUP(C56,Productos!A:G,5,FALSE))</f>
        <v>0</v>
      </c>
      <c r="K56" s="82">
        <f t="shared" si="1"/>
        <v>0</v>
      </c>
      <c r="L56" s="81">
        <f>IF(ISERROR(VLOOKUP(C56,Productos!A:G,6,FALSE)),0,VLOOKUP(C56,Productos!A:G,6,FALSE))</f>
        <v>0</v>
      </c>
      <c r="M56" s="83">
        <f t="shared" si="2"/>
        <v>0</v>
      </c>
      <c r="N56" s="84">
        <f>IF(ISERROR(VLOOKUP(C56,Productos!A:G,7,FALSE)),0,VLOOKUP(C56,Productos!A:G,7,FALSE))</f>
        <v>0</v>
      </c>
      <c r="O56" s="85">
        <f t="shared" si="3"/>
        <v>0</v>
      </c>
      <c r="P56" s="84">
        <f>IF(ISERROR(VLOOKUP(C56,Productos!A:H,8,FALSE)),0,VLOOKUP(C56,Productos!A:H,8,FALSE))</f>
        <v>0</v>
      </c>
      <c r="Q56" s="85">
        <f t="shared" si="4"/>
        <v>0</v>
      </c>
      <c r="R56" s="176">
        <f t="shared" si="5"/>
        <v>0</v>
      </c>
      <c r="S56" s="176"/>
      <c r="T56" s="45"/>
      <c r="U56" s="45"/>
      <c r="V56" s="45"/>
      <c r="W56" s="45"/>
      <c r="X56" s="45"/>
      <c r="Y56" s="45"/>
      <c r="Z56" s="45"/>
      <c r="AA56" s="45"/>
      <c r="AB56" s="45"/>
      <c r="AC56" s="45"/>
    </row>
    <row r="57" spans="1:29" s="46" customFormat="1" ht="12.75">
      <c r="A57" s="124"/>
      <c r="B57" s="79" t="str">
        <f>IF(D57 = "","",IF(ISERROR(VLOOKUP(C57,Productos!A:G,2,FALSE)),F5,IF(VLOOKUP(C57,Productos!A:G,2,FALSE)=0,F5,VLOOKUP(C57,Productos!A:G,2,FALSE))))</f>
        <v/>
      </c>
      <c r="C57" s="79"/>
      <c r="D57" s="86" t="str">
        <f>IF(ISERROR(VLOOKUP(C57,Productos!A:G,3,FALSE)),"",VLOOKUP(C57,Productos!A:G,3,FALSE))</f>
        <v/>
      </c>
      <c r="E57" s="86"/>
      <c r="F57" s="86"/>
      <c r="G57" s="177">
        <f>IF(ISERROR(VLOOKUP(C57,Productos!A:G,4,FALSE)),0,VLOOKUP(C57,Productos!A:G,4,FALSE))</f>
        <v>0</v>
      </c>
      <c r="H57" s="177"/>
      <c r="I57" s="80">
        <f t="shared" si="0"/>
        <v>0</v>
      </c>
      <c r="J57" s="81">
        <f>IF(ISERROR(VLOOKUP(C57,Productos!A:G,5,FALSE)),0,VLOOKUP(C57,Productos!A:G,5,FALSE))</f>
        <v>0</v>
      </c>
      <c r="K57" s="82">
        <f t="shared" si="1"/>
        <v>0</v>
      </c>
      <c r="L57" s="81">
        <f>IF(ISERROR(VLOOKUP(C57,Productos!A:G,6,FALSE)),0,VLOOKUP(C57,Productos!A:G,6,FALSE))</f>
        <v>0</v>
      </c>
      <c r="M57" s="83">
        <f t="shared" si="2"/>
        <v>0</v>
      </c>
      <c r="N57" s="84">
        <f>IF(ISERROR(VLOOKUP(C57,Productos!A:G,7,FALSE)),0,VLOOKUP(C57,Productos!A:G,7,FALSE))</f>
        <v>0</v>
      </c>
      <c r="O57" s="85">
        <f t="shared" si="3"/>
        <v>0</v>
      </c>
      <c r="P57" s="84">
        <f>IF(ISERROR(VLOOKUP(C57,Productos!A:H,8,FALSE)),0,VLOOKUP(C57,Productos!A:H,8,FALSE))</f>
        <v>0</v>
      </c>
      <c r="Q57" s="85">
        <f t="shared" si="4"/>
        <v>0</v>
      </c>
      <c r="R57" s="176">
        <f t="shared" si="5"/>
        <v>0</v>
      </c>
      <c r="S57" s="176"/>
      <c r="T57" s="45"/>
      <c r="U57" s="45"/>
      <c r="V57" s="45"/>
      <c r="W57" s="45"/>
      <c r="X57" s="45"/>
      <c r="Y57" s="45"/>
      <c r="Z57" s="45"/>
      <c r="AA57" s="45"/>
      <c r="AB57" s="45"/>
      <c r="AC57" s="45"/>
    </row>
    <row r="58" spans="1:29" s="46" customFormat="1" ht="12.75">
      <c r="A58" s="124"/>
      <c r="B58" s="79" t="str">
        <f>IF(D58 = "","",IF(ISERROR(VLOOKUP(C58,Productos!A:G,2,FALSE)),F5,IF(VLOOKUP(C58,Productos!A:G,2,FALSE)=0,F5,VLOOKUP(C58,Productos!A:G,2,FALSE))))</f>
        <v/>
      </c>
      <c r="C58" s="79"/>
      <c r="D58" s="178" t="str">
        <f>IF(ISERROR(VLOOKUP(C58,Productos!A:G,3,FALSE)),"",VLOOKUP(C58,Productos!A:G,3,FALSE))</f>
        <v/>
      </c>
      <c r="E58" s="178"/>
      <c r="F58" s="178"/>
      <c r="G58" s="177">
        <f>IF(ISERROR(VLOOKUP(C58,Productos!A:G,4,FALSE)),0,VLOOKUP(C58,Productos!A:G,4,FALSE))</f>
        <v>0</v>
      </c>
      <c r="H58" s="177"/>
      <c r="I58" s="80">
        <f t="shared" si="0"/>
        <v>0</v>
      </c>
      <c r="J58" s="81">
        <f>IF(ISERROR(VLOOKUP(C58,Productos!A:G,5,FALSE)),0,VLOOKUP(C58,Productos!A:G,5,FALSE))</f>
        <v>0</v>
      </c>
      <c r="K58" s="82">
        <f t="shared" si="1"/>
        <v>0</v>
      </c>
      <c r="L58" s="81">
        <f>IF(ISERROR(VLOOKUP(C58,Productos!A:G,6,FALSE)),0,VLOOKUP(C58,Productos!A:G,6,FALSE))</f>
        <v>0</v>
      </c>
      <c r="M58" s="83">
        <f t="shared" si="2"/>
        <v>0</v>
      </c>
      <c r="N58" s="84">
        <f>IF(ISERROR(VLOOKUP(C58,Productos!A:G,7,FALSE)),0,VLOOKUP(C58,Productos!A:G,7,FALSE))</f>
        <v>0</v>
      </c>
      <c r="O58" s="85">
        <f t="shared" si="3"/>
        <v>0</v>
      </c>
      <c r="P58" s="84">
        <f>IF(ISERROR(VLOOKUP(C58,Productos!A:H,8,FALSE)),0,VLOOKUP(C58,Productos!A:H,8,FALSE))</f>
        <v>0</v>
      </c>
      <c r="Q58" s="85">
        <f t="shared" si="4"/>
        <v>0</v>
      </c>
      <c r="R58" s="176">
        <f t="shared" si="5"/>
        <v>0</v>
      </c>
      <c r="S58" s="176"/>
      <c r="T58" s="45"/>
      <c r="U58" s="45"/>
      <c r="V58" s="45"/>
      <c r="W58" s="45"/>
      <c r="X58" s="45"/>
      <c r="Y58" s="45"/>
      <c r="Z58" s="45"/>
      <c r="AA58" s="45"/>
      <c r="AB58" s="45"/>
      <c r="AC58" s="45"/>
    </row>
    <row r="59" spans="1:29" s="46" customFormat="1" ht="12.75">
      <c r="A59" s="124"/>
      <c r="B59" s="79" t="str">
        <f>IF(D59 = "","",IF(ISERROR(VLOOKUP(C59,Productos!A:G,2,FALSE)),F5,IF(VLOOKUP(C59,Productos!A:G,2,FALSE)=0,F5,VLOOKUP(C59,Productos!A:G,2,FALSE))))</f>
        <v/>
      </c>
      <c r="C59" s="79"/>
      <c r="D59" s="178" t="str">
        <f>IF(ISERROR(VLOOKUP(C59,Productos!A:G,3,FALSE)),"",VLOOKUP(C59,Productos!A:G,3,FALSE))</f>
        <v/>
      </c>
      <c r="E59" s="178"/>
      <c r="F59" s="178"/>
      <c r="G59" s="177">
        <f>IF(ISERROR(VLOOKUP(C59,Productos!A:G,4,FALSE)),0,VLOOKUP(C59,Productos!A:G,4,FALSE))</f>
        <v>0</v>
      </c>
      <c r="H59" s="177"/>
      <c r="I59" s="80">
        <f t="shared" si="0"/>
        <v>0</v>
      </c>
      <c r="J59" s="81">
        <f>IF(ISERROR(VLOOKUP(C59,Productos!A:G,5,FALSE)),0,VLOOKUP(C59,Productos!A:G,5,FALSE))</f>
        <v>0</v>
      </c>
      <c r="K59" s="82">
        <f t="shared" si="1"/>
        <v>0</v>
      </c>
      <c r="L59" s="81">
        <f>IF(ISERROR(VLOOKUP(C59,Productos!A:G,6,FALSE)),0,VLOOKUP(C59,Productos!A:G,6,FALSE))</f>
        <v>0</v>
      </c>
      <c r="M59" s="83">
        <f t="shared" si="2"/>
        <v>0</v>
      </c>
      <c r="N59" s="84">
        <f>IF(ISERROR(VLOOKUP(C59,Productos!A:G,7,FALSE)),0,VLOOKUP(C59,Productos!A:G,7,FALSE))</f>
        <v>0</v>
      </c>
      <c r="O59" s="85">
        <f t="shared" si="3"/>
        <v>0</v>
      </c>
      <c r="P59" s="84">
        <f>IF(ISERROR(VLOOKUP(C59,Productos!A:H,8,FALSE)),0,VLOOKUP(C59,Productos!A:H,8,FALSE))</f>
        <v>0</v>
      </c>
      <c r="Q59" s="85">
        <f t="shared" si="4"/>
        <v>0</v>
      </c>
      <c r="R59" s="176">
        <f t="shared" si="5"/>
        <v>0</v>
      </c>
      <c r="S59" s="176"/>
      <c r="T59" s="45"/>
      <c r="U59" s="45"/>
      <c r="V59" s="45"/>
      <c r="W59" s="45"/>
      <c r="X59" s="45"/>
      <c r="Y59" s="45"/>
      <c r="Z59" s="45"/>
      <c r="AA59" s="45"/>
      <c r="AB59" s="45"/>
      <c r="AC59" s="45"/>
    </row>
    <row r="60" spans="1:29" s="30" customFormat="1" ht="17.25" customHeight="1">
      <c r="A60" s="125"/>
      <c r="B60" s="87" t="str">
        <f>IF(ISERROR(VLOOKUP(C60,Productos!A:G,2,FALSE)),"",VLOOKUP(C60,Productos!A:G,2,FALSE))</f>
        <v/>
      </c>
      <c r="C60" s="88"/>
      <c r="D60" s="182" t="s">
        <v>106</v>
      </c>
      <c r="E60" s="182"/>
      <c r="F60" s="182"/>
      <c r="G60" s="183"/>
      <c r="H60" s="183"/>
      <c r="I60" s="89"/>
      <c r="J60" s="90"/>
      <c r="K60" s="91"/>
      <c r="L60" s="90"/>
      <c r="M60" s="92"/>
      <c r="N60" s="93"/>
      <c r="O60" s="94"/>
      <c r="P60" s="84"/>
      <c r="Q60" s="94"/>
      <c r="R60" s="183"/>
      <c r="S60" s="183"/>
      <c r="T60" s="29"/>
      <c r="U60" s="29"/>
      <c r="V60" s="29"/>
      <c r="W60" s="29"/>
      <c r="X60" s="29"/>
      <c r="Y60" s="29"/>
      <c r="Z60" s="29"/>
      <c r="AA60" s="29"/>
      <c r="AB60" s="29"/>
      <c r="AC60" s="29"/>
    </row>
    <row r="61" spans="1:29" s="30" customFormat="1" ht="13.5" customHeight="1">
      <c r="A61" s="209" t="s">
        <v>99</v>
      </c>
      <c r="B61" s="210"/>
      <c r="C61" s="210"/>
      <c r="D61" s="210"/>
      <c r="E61" s="96"/>
      <c r="F61" s="96"/>
      <c r="G61" s="181" t="s">
        <v>60</v>
      </c>
      <c r="H61" s="179"/>
      <c r="I61" s="179"/>
      <c r="J61" s="179"/>
      <c r="K61" s="179"/>
      <c r="L61" s="179"/>
      <c r="M61" s="179"/>
      <c r="N61" s="179"/>
      <c r="O61" s="179"/>
      <c r="P61" s="179"/>
      <c r="Q61" s="180"/>
      <c r="R61" s="220">
        <f>SUM(I32:I59)</f>
        <v>0</v>
      </c>
      <c r="S61" s="221"/>
      <c r="T61" s="47"/>
      <c r="U61" s="29"/>
      <c r="V61" s="29"/>
      <c r="W61" s="29"/>
      <c r="X61" s="29"/>
      <c r="Y61" s="29"/>
      <c r="Z61" s="29"/>
      <c r="AA61" s="29"/>
      <c r="AB61" s="29"/>
      <c r="AC61" s="29"/>
    </row>
    <row r="62" spans="1:29" s="30" customFormat="1" ht="17.25" hidden="1" customHeight="1" thickBot="1">
      <c r="A62" s="48"/>
      <c r="B62" s="95"/>
      <c r="C62" s="97" t="s">
        <v>94</v>
      </c>
      <c r="D62" s="98"/>
      <c r="E62" s="98"/>
      <c r="F62" s="99"/>
      <c r="G62" s="179" t="s">
        <v>61</v>
      </c>
      <c r="H62" s="179"/>
      <c r="I62" s="179"/>
      <c r="J62" s="179"/>
      <c r="K62" s="179"/>
      <c r="L62" s="179"/>
      <c r="M62" s="179"/>
      <c r="N62" s="179"/>
      <c r="O62" s="179"/>
      <c r="P62" s="179"/>
      <c r="Q62" s="180"/>
      <c r="R62" s="220">
        <f>SUM(K32:K60)</f>
        <v>0</v>
      </c>
      <c r="S62" s="221"/>
      <c r="T62" s="49"/>
    </row>
    <row r="63" spans="1:29" s="30" customFormat="1" ht="17.25" hidden="1" customHeight="1" thickBot="1">
      <c r="A63" s="48"/>
      <c r="B63" s="100"/>
      <c r="C63" s="101"/>
      <c r="D63" s="100"/>
      <c r="E63" s="100"/>
      <c r="F63" s="102"/>
      <c r="G63" s="179" t="s">
        <v>3</v>
      </c>
      <c r="H63" s="179"/>
      <c r="I63" s="179"/>
      <c r="J63" s="179"/>
      <c r="K63" s="179"/>
      <c r="L63" s="179"/>
      <c r="M63" s="179"/>
      <c r="N63" s="179"/>
      <c r="O63" s="179"/>
      <c r="P63" s="179"/>
      <c r="Q63" s="180"/>
      <c r="R63" s="220">
        <f>SUM(M32:M60)</f>
        <v>0</v>
      </c>
      <c r="S63" s="221"/>
      <c r="T63" s="49"/>
    </row>
    <row r="64" spans="1:29" s="30" customFormat="1" ht="13.5" customHeight="1">
      <c r="A64" s="226" t="str">
        <f>PesosMN(R68,F4,VLOOKUP(F4,Config!J:O,5,FALSE), IF(F4="PESOS",1,0 ))</f>
        <v/>
      </c>
      <c r="B64" s="227"/>
      <c r="C64" s="227"/>
      <c r="D64" s="227"/>
      <c r="E64" s="227"/>
      <c r="F64" s="227"/>
      <c r="G64" s="181" t="s">
        <v>253</v>
      </c>
      <c r="H64" s="179"/>
      <c r="I64" s="179"/>
      <c r="J64" s="179"/>
      <c r="K64" s="179"/>
      <c r="L64" s="179"/>
      <c r="M64" s="179"/>
      <c r="N64" s="179"/>
      <c r="O64" s="179"/>
      <c r="P64" s="179"/>
      <c r="Q64" s="180"/>
      <c r="R64" s="220">
        <f>SUM(O32:O60)</f>
        <v>0</v>
      </c>
      <c r="S64" s="221"/>
      <c r="T64" s="49"/>
    </row>
    <row r="65" spans="1:20" s="30" customFormat="1" ht="17.25" hidden="1" customHeight="1" thickBot="1">
      <c r="A65" s="226"/>
      <c r="B65" s="227"/>
      <c r="C65" s="227"/>
      <c r="D65" s="227"/>
      <c r="E65" s="227"/>
      <c r="F65" s="227"/>
      <c r="G65" s="181" t="str">
        <f xml:space="preserve"> "Retención IVA ("  &amp; Config!K2 &amp; "%)"</f>
        <v>Retención IVA (0%)</v>
      </c>
      <c r="H65" s="179"/>
      <c r="I65" s="179"/>
      <c r="J65" s="179"/>
      <c r="K65" s="179"/>
      <c r="L65" s="179"/>
      <c r="M65" s="179"/>
      <c r="N65" s="179"/>
      <c r="O65" s="179"/>
      <c r="P65" s="179"/>
      <c r="Q65" s="180"/>
      <c r="R65" s="222">
        <f>Config!K2*(R61-R62)/100</f>
        <v>0</v>
      </c>
      <c r="S65" s="223"/>
      <c r="T65" s="49"/>
    </row>
    <row r="66" spans="1:20" s="30" customFormat="1" ht="17.25" hidden="1" customHeight="1">
      <c r="A66" s="226"/>
      <c r="B66" s="227"/>
      <c r="C66" s="227"/>
      <c r="D66" s="227"/>
      <c r="E66" s="227"/>
      <c r="F66" s="227"/>
      <c r="G66" s="181" t="str">
        <f xml:space="preserve"> "Retención ISR ("  &amp;  Config!K3 &amp; "%)"</f>
        <v>Retención ISR (0%)</v>
      </c>
      <c r="H66" s="179"/>
      <c r="I66" s="179"/>
      <c r="J66" s="179"/>
      <c r="K66" s="179"/>
      <c r="L66" s="179"/>
      <c r="M66" s="179"/>
      <c r="N66" s="179"/>
      <c r="O66" s="179"/>
      <c r="P66" s="179"/>
      <c r="Q66" s="180"/>
      <c r="R66" s="224">
        <f>Config!K3*(CFD!R61-R62)/100</f>
        <v>0</v>
      </c>
      <c r="S66" s="225"/>
      <c r="T66" s="49"/>
    </row>
    <row r="67" spans="1:20" s="30" customFormat="1" ht="13.5" customHeight="1">
      <c r="A67" s="226"/>
      <c r="B67" s="227"/>
      <c r="C67" s="227"/>
      <c r="D67" s="227"/>
      <c r="E67" s="227"/>
      <c r="F67" s="227"/>
      <c r="G67" s="181"/>
      <c r="H67" s="179"/>
      <c r="I67" s="179"/>
      <c r="J67" s="179"/>
      <c r="K67" s="179"/>
      <c r="L67" s="179"/>
      <c r="M67" s="179"/>
      <c r="N67" s="179"/>
      <c r="O67" s="179"/>
      <c r="P67" s="179"/>
      <c r="Q67" s="180"/>
      <c r="R67" s="220"/>
      <c r="S67" s="221"/>
      <c r="T67" s="49"/>
    </row>
    <row r="68" spans="1:20" s="30" customFormat="1" ht="12.75">
      <c r="A68" s="50"/>
      <c r="B68" s="100"/>
      <c r="C68" s="100"/>
      <c r="D68" s="100"/>
      <c r="E68" s="100"/>
      <c r="F68" s="103"/>
      <c r="G68" s="219" t="s">
        <v>56</v>
      </c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20">
        <f>R61-R62+R63+R64-R65-R66+R67</f>
        <v>0</v>
      </c>
      <c r="S68" s="221"/>
      <c r="T68" s="49"/>
    </row>
    <row r="69" spans="1:20" ht="17.25" customHeight="1" thickBot="1">
      <c r="A69" s="243" t="s">
        <v>120</v>
      </c>
      <c r="B69" s="243"/>
      <c r="C69" s="243"/>
      <c r="D69" s="243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</row>
    <row r="70" spans="1:20" ht="15" customHeight="1">
      <c r="A70" s="228"/>
      <c r="B70" s="229"/>
      <c r="C70" s="229"/>
      <c r="D70" s="229"/>
      <c r="E70" s="229"/>
      <c r="F70" s="230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</row>
    <row r="71" spans="1:20" s="131" customFormat="1" ht="15" customHeight="1">
      <c r="A71" s="231"/>
      <c r="B71" s="232"/>
      <c r="C71" s="232"/>
      <c r="D71" s="232"/>
      <c r="E71" s="232"/>
      <c r="F71" s="233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</row>
    <row r="72" spans="1:20" s="131" customFormat="1" ht="15" customHeight="1">
      <c r="A72" s="231"/>
      <c r="B72" s="232"/>
      <c r="C72" s="232"/>
      <c r="D72" s="232"/>
      <c r="E72" s="232"/>
      <c r="F72" s="233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</row>
    <row r="73" spans="1:20" ht="15" customHeight="1">
      <c r="A73" s="231"/>
      <c r="B73" s="232"/>
      <c r="C73" s="232"/>
      <c r="D73" s="232"/>
      <c r="E73" s="232"/>
      <c r="F73" s="233"/>
      <c r="G73" s="109"/>
      <c r="H73" s="109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</row>
    <row r="74" spans="1:20" ht="15" customHeight="1" thickBot="1">
      <c r="A74" s="234"/>
      <c r="B74" s="235"/>
      <c r="C74" s="235"/>
      <c r="D74" s="235"/>
      <c r="E74" s="235"/>
      <c r="F74" s="236"/>
      <c r="G74" s="109"/>
      <c r="H74" s="109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</row>
    <row r="75" spans="1:20" ht="17.25" customHeight="1" thickBot="1">
      <c r="A75" s="243" t="s">
        <v>121</v>
      </c>
      <c r="B75" s="243"/>
      <c r="C75" s="243"/>
      <c r="D75" s="243"/>
      <c r="E75" s="243"/>
      <c r="F75" s="243"/>
      <c r="G75" s="243"/>
      <c r="H75" s="243"/>
      <c r="I75" s="243"/>
      <c r="J75" s="243"/>
      <c r="K75" s="243"/>
      <c r="L75" s="243"/>
      <c r="M75" s="243"/>
      <c r="N75" s="243"/>
      <c r="O75" s="243"/>
      <c r="P75" s="243"/>
      <c r="Q75" s="243"/>
      <c r="R75" s="243"/>
      <c r="S75" s="243"/>
    </row>
    <row r="76" spans="1:20" ht="15" customHeight="1">
      <c r="A76" s="228"/>
      <c r="B76" s="229"/>
      <c r="C76" s="229"/>
      <c r="D76" s="229"/>
      <c r="E76" s="229"/>
      <c r="F76" s="230"/>
      <c r="G76" s="109"/>
      <c r="H76" s="109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</row>
    <row r="77" spans="1:20" ht="15" customHeight="1" thickBot="1">
      <c r="A77" s="234"/>
      <c r="B77" s="235"/>
      <c r="C77" s="235"/>
      <c r="D77" s="235"/>
      <c r="E77" s="235"/>
      <c r="F77" s="236"/>
      <c r="G77" s="109"/>
      <c r="H77" s="109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</row>
    <row r="78" spans="1:20" ht="17.25" customHeight="1" thickBot="1">
      <c r="A78" s="243" t="s">
        <v>123</v>
      </c>
      <c r="B78" s="243"/>
      <c r="C78" s="243"/>
      <c r="D78" s="243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  <c r="Q78" s="243"/>
      <c r="R78" s="243"/>
      <c r="S78" s="115"/>
    </row>
    <row r="79" spans="1:20" ht="14.25" customHeight="1">
      <c r="A79" s="237"/>
      <c r="B79" s="238"/>
      <c r="C79" s="238"/>
      <c r="D79" s="238"/>
      <c r="E79" s="238"/>
      <c r="F79" s="239"/>
    </row>
    <row r="80" spans="1:20" ht="14.25" customHeight="1" thickBot="1">
      <c r="A80" s="240"/>
      <c r="B80" s="241"/>
      <c r="C80" s="241"/>
      <c r="D80" s="241"/>
      <c r="E80" s="241"/>
      <c r="F80" s="242"/>
    </row>
    <row r="81" spans="3:19" ht="17.25" customHeight="1">
      <c r="C81" s="218" t="s">
        <v>122</v>
      </c>
      <c r="D81" s="218"/>
      <c r="E81" s="218"/>
      <c r="F81" s="218"/>
      <c r="G81" s="218"/>
      <c r="H81" s="218"/>
      <c r="I81" s="218"/>
      <c r="J81" s="218"/>
      <c r="K81" s="218"/>
      <c r="L81" s="218"/>
      <c r="M81" s="218"/>
      <c r="N81" s="218"/>
      <c r="O81" s="218"/>
      <c r="P81" s="218"/>
      <c r="Q81" s="218"/>
      <c r="R81" s="218"/>
      <c r="S81" s="218"/>
    </row>
    <row r="82" spans="3:19" ht="17.25" customHeight="1"/>
    <row r="83" spans="3:19" ht="17.25" customHeight="1"/>
    <row r="84" spans="3:19" ht="17.25" customHeight="1"/>
    <row r="85" spans="3:19" ht="17.25" customHeight="1"/>
  </sheetData>
  <mergeCells count="157">
    <mergeCell ref="G46:H46"/>
    <mergeCell ref="C81:S81"/>
    <mergeCell ref="G66:Q66"/>
    <mergeCell ref="G67:Q67"/>
    <mergeCell ref="G68:Q68"/>
    <mergeCell ref="G65:Q65"/>
    <mergeCell ref="G64:Q64"/>
    <mergeCell ref="R64:S64"/>
    <mergeCell ref="R65:S65"/>
    <mergeCell ref="R66:S66"/>
    <mergeCell ref="R67:S67"/>
    <mergeCell ref="R68:S68"/>
    <mergeCell ref="A64:F67"/>
    <mergeCell ref="R63:S63"/>
    <mergeCell ref="A70:F74"/>
    <mergeCell ref="A76:F77"/>
    <mergeCell ref="R61:S61"/>
    <mergeCell ref="R62:S62"/>
    <mergeCell ref="A79:F80"/>
    <mergeCell ref="A78:R78"/>
    <mergeCell ref="A75:S75"/>
    <mergeCell ref="A69:S69"/>
    <mergeCell ref="D58:F58"/>
    <mergeCell ref="D56:F56"/>
    <mergeCell ref="G50:H50"/>
    <mergeCell ref="G51:H51"/>
    <mergeCell ref="D51:F51"/>
    <mergeCell ref="D52:F52"/>
    <mergeCell ref="D50:F50"/>
    <mergeCell ref="D54:F54"/>
    <mergeCell ref="D55:F55"/>
    <mergeCell ref="G57:H57"/>
    <mergeCell ref="G56:H56"/>
    <mergeCell ref="R60:S60"/>
    <mergeCell ref="A61:D61"/>
    <mergeCell ref="F1:H1"/>
    <mergeCell ref="F2:H2"/>
    <mergeCell ref="F3:H3"/>
    <mergeCell ref="F4:H4"/>
    <mergeCell ref="H16:S16"/>
    <mergeCell ref="H7:S7"/>
    <mergeCell ref="F5:H5"/>
    <mergeCell ref="L30:M30"/>
    <mergeCell ref="N30:O30"/>
    <mergeCell ref="J30:K30"/>
    <mergeCell ref="H18:S19"/>
    <mergeCell ref="P30:Q30"/>
    <mergeCell ref="R30:S30"/>
    <mergeCell ref="D30:F30"/>
    <mergeCell ref="I30:I31"/>
    <mergeCell ref="D14:G14"/>
    <mergeCell ref="G30:H30"/>
    <mergeCell ref="G31:H31"/>
    <mergeCell ref="D31:F31"/>
    <mergeCell ref="D13:G13"/>
    <mergeCell ref="H14:S14"/>
    <mergeCell ref="R38:S38"/>
    <mergeCell ref="G36:H36"/>
    <mergeCell ref="R34:S34"/>
    <mergeCell ref="G38:H38"/>
    <mergeCell ref="E7:G7"/>
    <mergeCell ref="E9:G9"/>
    <mergeCell ref="E11:G11"/>
    <mergeCell ref="D33:F33"/>
    <mergeCell ref="E8:F8"/>
    <mergeCell ref="H9:S9"/>
    <mergeCell ref="H8:S8"/>
    <mergeCell ref="H10:S10"/>
    <mergeCell ref="H13:S13"/>
    <mergeCell ref="G33:H33"/>
    <mergeCell ref="R32:S32"/>
    <mergeCell ref="R33:S33"/>
    <mergeCell ref="C6:D9"/>
    <mergeCell ref="H17:S17"/>
    <mergeCell ref="R31:S31"/>
    <mergeCell ref="R35:S35"/>
    <mergeCell ref="R36:S36"/>
    <mergeCell ref="R37:S37"/>
    <mergeCell ref="D41:F41"/>
    <mergeCell ref="D42:F42"/>
    <mergeCell ref="D43:F43"/>
    <mergeCell ref="D15:G16"/>
    <mergeCell ref="C25:G26"/>
    <mergeCell ref="C23:G24"/>
    <mergeCell ref="C21:G22"/>
    <mergeCell ref="C27:G28"/>
    <mergeCell ref="G32:H32"/>
    <mergeCell ref="G37:H37"/>
    <mergeCell ref="G34:H34"/>
    <mergeCell ref="G35:H35"/>
    <mergeCell ref="G40:H40"/>
    <mergeCell ref="G41:H41"/>
    <mergeCell ref="G42:H42"/>
    <mergeCell ref="G43:H43"/>
    <mergeCell ref="G39:H39"/>
    <mergeCell ref="D17:G17"/>
    <mergeCell ref="D18:G18"/>
    <mergeCell ref="D19:G19"/>
    <mergeCell ref="H27:S27"/>
    <mergeCell ref="H21:S21"/>
    <mergeCell ref="D38:F38"/>
    <mergeCell ref="D32:F32"/>
    <mergeCell ref="A21:B21"/>
    <mergeCell ref="A23:B23"/>
    <mergeCell ref="A25:B25"/>
    <mergeCell ref="A27:B27"/>
    <mergeCell ref="D34:F34"/>
    <mergeCell ref="D35:F35"/>
    <mergeCell ref="D36:F36"/>
    <mergeCell ref="D37:F37"/>
    <mergeCell ref="D40:F40"/>
    <mergeCell ref="D39:F39"/>
    <mergeCell ref="G47:H47"/>
    <mergeCell ref="G55:H55"/>
    <mergeCell ref="D44:F44"/>
    <mergeCell ref="D45:F45"/>
    <mergeCell ref="D46:F46"/>
    <mergeCell ref="D47:F47"/>
    <mergeCell ref="G63:Q63"/>
    <mergeCell ref="G62:Q62"/>
    <mergeCell ref="G61:Q61"/>
    <mergeCell ref="G52:H52"/>
    <mergeCell ref="G53:H53"/>
    <mergeCell ref="G54:H54"/>
    <mergeCell ref="G48:H48"/>
    <mergeCell ref="G49:H49"/>
    <mergeCell ref="D48:F48"/>
    <mergeCell ref="D49:F49"/>
    <mergeCell ref="D59:F59"/>
    <mergeCell ref="D53:F53"/>
    <mergeCell ref="D60:F60"/>
    <mergeCell ref="G60:H60"/>
    <mergeCell ref="G58:H58"/>
    <mergeCell ref="G59:H59"/>
    <mergeCell ref="G44:H44"/>
    <mergeCell ref="G45:H45"/>
    <mergeCell ref="R39:S39"/>
    <mergeCell ref="R59:S59"/>
    <mergeCell ref="R58:S58"/>
    <mergeCell ref="R57:S57"/>
    <mergeCell ref="R49:S49"/>
    <mergeCell ref="R40:S40"/>
    <mergeCell ref="R41:S41"/>
    <mergeCell ref="R42:S42"/>
    <mergeCell ref="R43:S43"/>
    <mergeCell ref="R56:S56"/>
    <mergeCell ref="R50:S50"/>
    <mergeCell ref="R51:S51"/>
    <mergeCell ref="R52:S52"/>
    <mergeCell ref="R53:S53"/>
    <mergeCell ref="R54:S54"/>
    <mergeCell ref="R55:S55"/>
    <mergeCell ref="R44:S44"/>
    <mergeCell ref="R45:S45"/>
    <mergeCell ref="R46:S46"/>
    <mergeCell ref="R47:S47"/>
    <mergeCell ref="R48:S48"/>
  </mergeCells>
  <dataValidations xWindow="558" yWindow="236" count="10">
    <dataValidation type="list" allowBlank="1" showInputMessage="1" showErrorMessage="1" sqref="H8:S8">
      <formula1>AA1:AA6</formula1>
    </dataValidation>
    <dataValidation type="decimal" operator="greaterThanOrEqual" allowBlank="1" showInputMessage="1" showErrorMessage="1" sqref="G32:G59">
      <formula1>0</formula1>
    </dataValidation>
    <dataValidation type="decimal" operator="greaterThan" allowBlank="1" showInputMessage="1" showErrorMessage="1" sqref="A32:A59">
      <formula1>0</formula1>
    </dataValidation>
    <dataValidation errorStyle="information" allowBlank="1" showInputMessage="1" showErrorMessage="1" sqref="E2"/>
    <dataValidation errorStyle="information" allowBlank="1" showInputMessage="1" showErrorMessage="1" prompt="Seleccione un tipo de documento por favor" sqref="E1"/>
    <dataValidation type="list" allowBlank="1" showInputMessage="1" showErrorMessage="1" sqref="F5:H5">
      <formula1>Config!J$35:J$36</formula1>
    </dataValidation>
    <dataValidation type="list" allowBlank="1" showInputMessage="1" showErrorMessage="1" prompt="Seleccione una Moneda Por Favor_x000a_" sqref="F4:H4">
      <formula1>Config!$J23:$J25</formula1>
    </dataValidation>
    <dataValidation type="list" allowBlank="1" showInputMessage="1" showErrorMessage="1" prompt="Seleccione un Cliente Por Favor" sqref="F3:H3">
      <formula1>Clientes!A$2:A$1000</formula1>
    </dataValidation>
    <dataValidation type="list" errorStyle="information" allowBlank="1" showInputMessage="1" showErrorMessage="1" prompt="Seleccione un Folio por favor" sqref="F2">
      <formula1>Config!$C$35:$C$35</formula1>
    </dataValidation>
    <dataValidation type="list" errorStyle="information" allowBlank="1" showInputMessage="1" showErrorMessage="1" prompt="Seleccione un tipo de documento por favor" sqref="F1">
      <formula1>Config!$P$1:$P$5</formula1>
    </dataValidation>
  </dataValidations>
  <printOptions horizontalCentered="1" verticalCentered="1"/>
  <pageMargins left="0.39370078740157483" right="0.39370078740157483" top="0" bottom="0.39370078740157483" header="0.31496062992125984" footer="0.31496062992125984"/>
  <pageSetup scale="76" orientation="portrait" r:id="rId1"/>
  <drawing r:id="rId2"/>
  <legacyDrawing r:id="rId3"/>
  <controls>
    <control shapeId="2070" r:id="rId4" name="btn_monitor"/>
    <control shapeId="2069" r:id="rId5" name="imgCBB"/>
    <control shapeId="2061" r:id="rId6" name="btnFacturar"/>
    <control shapeId="2054" r:id="rId7" name="btnActualiza"/>
    <control shapeId="2066" r:id="rId8" name="ckIVA"/>
    <control shapeId="2067" r:id="rId9" name="ckISH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4"/>
  <dimension ref="A1:J1010"/>
  <sheetViews>
    <sheetView zoomScale="130" zoomScaleNormal="130" workbookViewId="0">
      <selection activeCell="D5" sqref="D5"/>
    </sheetView>
  </sheetViews>
  <sheetFormatPr baseColWidth="10" defaultColWidth="11" defaultRowHeight="15"/>
  <cols>
    <col min="1" max="1" width="11" style="139"/>
    <col min="2" max="2" width="14.140625" style="139" customWidth="1"/>
    <col min="3" max="3" width="61.5703125" style="139" customWidth="1"/>
    <col min="4" max="4" width="16" style="139" customWidth="1"/>
    <col min="5" max="5" width="11.28515625" style="139" customWidth="1"/>
    <col min="6" max="6" width="9.42578125" style="139" customWidth="1"/>
    <col min="7" max="7" width="11" style="139" customWidth="1"/>
    <col min="8" max="8" width="11" style="19"/>
    <col min="9" max="9" width="11.28515625" style="139" bestFit="1" customWidth="1"/>
    <col min="10" max="16384" width="11" style="139"/>
  </cols>
  <sheetData>
    <row r="1" spans="1:10" ht="30">
      <c r="A1" s="150" t="s">
        <v>51</v>
      </c>
      <c r="B1" s="151" t="s">
        <v>41</v>
      </c>
      <c r="C1" s="152" t="s">
        <v>0</v>
      </c>
      <c r="D1" s="153" t="s">
        <v>52</v>
      </c>
      <c r="E1" s="153" t="s">
        <v>42</v>
      </c>
      <c r="F1" s="150" t="s">
        <v>43</v>
      </c>
      <c r="G1" s="154" t="s">
        <v>44</v>
      </c>
      <c r="H1" s="139"/>
    </row>
    <row r="2" spans="1:10">
      <c r="A2" s="155" t="s">
        <v>154</v>
      </c>
      <c r="B2" s="156"/>
      <c r="C2" s="157" t="s">
        <v>155</v>
      </c>
      <c r="D2" s="158">
        <v>10</v>
      </c>
      <c r="E2" s="159">
        <v>0</v>
      </c>
      <c r="F2" s="160">
        <v>0</v>
      </c>
      <c r="G2" s="156">
        <v>16</v>
      </c>
      <c r="H2" s="139"/>
    </row>
    <row r="3" spans="1:10">
      <c r="A3" s="155" t="s">
        <v>156</v>
      </c>
      <c r="B3" s="156"/>
      <c r="C3" s="157" t="s">
        <v>231</v>
      </c>
      <c r="D3" s="158">
        <v>60634.45</v>
      </c>
      <c r="E3" s="159">
        <v>0</v>
      </c>
      <c r="F3" s="160">
        <v>0</v>
      </c>
      <c r="G3" s="156">
        <v>16</v>
      </c>
      <c r="H3" s="139"/>
    </row>
    <row r="4" spans="1:10">
      <c r="A4" s="155" t="s">
        <v>157</v>
      </c>
      <c r="B4" s="156"/>
      <c r="C4" s="157" t="s">
        <v>155</v>
      </c>
      <c r="D4" s="158">
        <v>7000000</v>
      </c>
      <c r="E4" s="159">
        <v>0</v>
      </c>
      <c r="F4" s="160">
        <v>0</v>
      </c>
      <c r="G4" s="156">
        <v>16</v>
      </c>
      <c r="H4" s="139"/>
    </row>
    <row r="5" spans="1:10">
      <c r="A5" s="155" t="s">
        <v>232</v>
      </c>
      <c r="B5" s="156"/>
      <c r="C5" s="157" t="s">
        <v>231</v>
      </c>
      <c r="D5" s="161">
        <v>27790906.129999999</v>
      </c>
      <c r="E5" s="159">
        <v>0</v>
      </c>
      <c r="F5" s="160">
        <v>0</v>
      </c>
      <c r="G5" s="156">
        <v>16</v>
      </c>
      <c r="H5" s="139"/>
    </row>
    <row r="6" spans="1:10">
      <c r="A6" s="155" t="s">
        <v>158</v>
      </c>
      <c r="B6" s="156"/>
      <c r="C6" s="157" t="s">
        <v>233</v>
      </c>
      <c r="D6" s="158">
        <v>78376.28</v>
      </c>
      <c r="E6" s="159">
        <v>0</v>
      </c>
      <c r="F6" s="160">
        <v>0</v>
      </c>
      <c r="G6" s="156">
        <v>16</v>
      </c>
      <c r="H6" s="139"/>
    </row>
    <row r="7" spans="1:10">
      <c r="A7" s="155" t="s">
        <v>159</v>
      </c>
      <c r="B7" s="156"/>
      <c r="C7" s="157" t="s">
        <v>160</v>
      </c>
      <c r="D7" s="158">
        <v>15000</v>
      </c>
      <c r="E7" s="159">
        <v>0</v>
      </c>
      <c r="F7" s="160">
        <v>0</v>
      </c>
      <c r="G7" s="156">
        <v>16</v>
      </c>
      <c r="H7" s="139"/>
      <c r="I7" s="139">
        <f>375775.87+10000</f>
        <v>385775.87</v>
      </c>
      <c r="J7" s="139">
        <f>I7/1.16</f>
        <v>332565.4051724138</v>
      </c>
    </row>
    <row r="8" spans="1:10">
      <c r="A8" s="155" t="s">
        <v>161</v>
      </c>
      <c r="B8" s="156"/>
      <c r="C8" s="157" t="s">
        <v>162</v>
      </c>
      <c r="D8" s="158">
        <v>1417.4</v>
      </c>
      <c r="E8" s="159">
        <v>0</v>
      </c>
      <c r="F8" s="160">
        <v>0</v>
      </c>
      <c r="G8" s="156">
        <v>16</v>
      </c>
      <c r="H8" s="139"/>
    </row>
    <row r="9" spans="1:10">
      <c r="A9" s="155" t="s">
        <v>163</v>
      </c>
      <c r="B9" s="156"/>
      <c r="C9" s="157" t="s">
        <v>231</v>
      </c>
      <c r="D9" s="158">
        <v>11888.58</v>
      </c>
      <c r="E9" s="159">
        <v>0</v>
      </c>
      <c r="F9" s="160">
        <v>0</v>
      </c>
      <c r="G9" s="156">
        <v>16</v>
      </c>
      <c r="H9" s="139"/>
    </row>
    <row r="10" spans="1:10">
      <c r="A10" s="155" t="s">
        <v>164</v>
      </c>
      <c r="B10" s="156"/>
      <c r="C10" s="157" t="s">
        <v>234</v>
      </c>
      <c r="D10" s="158">
        <v>1127.8399999999999</v>
      </c>
      <c r="E10" s="159">
        <v>0</v>
      </c>
      <c r="F10" s="160">
        <v>0</v>
      </c>
      <c r="G10" s="156">
        <v>16</v>
      </c>
      <c r="H10" s="139"/>
    </row>
    <row r="11" spans="1:10">
      <c r="A11" s="155" t="s">
        <v>165</v>
      </c>
      <c r="B11" s="156"/>
      <c r="C11" s="157" t="s">
        <v>234</v>
      </c>
      <c r="D11" s="158">
        <v>4237.55</v>
      </c>
      <c r="E11" s="159">
        <v>0</v>
      </c>
      <c r="F11" s="160">
        <v>0</v>
      </c>
      <c r="G11" s="156">
        <v>16</v>
      </c>
      <c r="H11" s="139"/>
    </row>
    <row r="12" spans="1:10">
      <c r="A12" s="155" t="s">
        <v>166</v>
      </c>
      <c r="B12" s="156"/>
      <c r="C12" s="157" t="s">
        <v>167</v>
      </c>
      <c r="D12" s="158">
        <v>66494.5</v>
      </c>
      <c r="E12" s="159">
        <v>0</v>
      </c>
      <c r="F12" s="160">
        <v>0</v>
      </c>
      <c r="G12" s="156">
        <v>16</v>
      </c>
      <c r="H12" s="139"/>
    </row>
    <row r="13" spans="1:10">
      <c r="A13" s="155" t="s">
        <v>168</v>
      </c>
      <c r="B13" s="156"/>
      <c r="C13" s="157" t="s">
        <v>167</v>
      </c>
      <c r="D13" s="158">
        <v>92958.31</v>
      </c>
      <c r="E13" s="159"/>
      <c r="F13" s="160"/>
      <c r="G13" s="156">
        <v>16</v>
      </c>
      <c r="H13" s="162"/>
      <c r="I13" s="162">
        <v>77133.62</v>
      </c>
    </row>
    <row r="14" spans="1:10">
      <c r="A14" s="155"/>
      <c r="B14" s="156"/>
      <c r="C14" s="157" t="s">
        <v>169</v>
      </c>
      <c r="D14" s="158"/>
      <c r="E14" s="159"/>
      <c r="F14" s="160"/>
      <c r="G14" s="156"/>
      <c r="H14" s="139"/>
      <c r="I14" s="139">
        <f>+I13/1.16</f>
        <v>66494.5</v>
      </c>
    </row>
    <row r="15" spans="1:10">
      <c r="A15" s="155"/>
      <c r="B15" s="156"/>
      <c r="C15" s="157" t="s">
        <v>170</v>
      </c>
      <c r="D15" s="158"/>
      <c r="E15" s="159"/>
      <c r="F15" s="160"/>
      <c r="G15" s="156"/>
      <c r="H15" s="139"/>
    </row>
    <row r="16" spans="1:10">
      <c r="A16" s="155" t="s">
        <v>171</v>
      </c>
      <c r="B16" s="163"/>
      <c r="C16" s="157" t="s">
        <v>167</v>
      </c>
      <c r="D16" s="158">
        <v>86518.080000000002</v>
      </c>
      <c r="E16" s="159"/>
      <c r="F16" s="160"/>
      <c r="G16" s="156">
        <v>16</v>
      </c>
      <c r="H16" s="139"/>
    </row>
    <row r="17" spans="1:8">
      <c r="A17" s="155" t="s">
        <v>172</v>
      </c>
      <c r="B17" s="163"/>
      <c r="C17" s="157" t="s">
        <v>173</v>
      </c>
      <c r="D17" s="158"/>
      <c r="E17" s="159"/>
      <c r="F17" s="160"/>
      <c r="G17" s="156"/>
      <c r="H17" s="139"/>
    </row>
    <row r="18" spans="1:8">
      <c r="A18" s="155" t="s">
        <v>174</v>
      </c>
      <c r="B18" s="163"/>
      <c r="C18" s="157" t="s">
        <v>175</v>
      </c>
      <c r="D18" s="158">
        <v>77265</v>
      </c>
      <c r="E18" s="159"/>
      <c r="F18" s="160"/>
      <c r="G18" s="156"/>
      <c r="H18" s="139"/>
    </row>
    <row r="19" spans="1:8">
      <c r="A19" s="155" t="s">
        <v>176</v>
      </c>
      <c r="B19" s="163"/>
      <c r="C19" s="157" t="s">
        <v>177</v>
      </c>
      <c r="D19" s="158">
        <v>49275.86</v>
      </c>
      <c r="E19" s="159"/>
      <c r="F19" s="160"/>
      <c r="G19" s="156">
        <v>16</v>
      </c>
      <c r="H19" s="139"/>
    </row>
    <row r="20" spans="1:8">
      <c r="A20" s="155" t="s">
        <v>178</v>
      </c>
      <c r="B20" s="163"/>
      <c r="C20" s="157" t="s">
        <v>167</v>
      </c>
      <c r="D20" s="158">
        <v>9419.0400000000009</v>
      </c>
      <c r="E20" s="159"/>
      <c r="F20" s="160"/>
      <c r="G20" s="156">
        <v>16</v>
      </c>
      <c r="H20" s="139"/>
    </row>
    <row r="21" spans="1:8">
      <c r="A21" s="155" t="s">
        <v>179</v>
      </c>
      <c r="B21" s="163"/>
      <c r="C21" s="157" t="s">
        <v>167</v>
      </c>
      <c r="D21" s="158">
        <v>862.07</v>
      </c>
      <c r="E21" s="159"/>
      <c r="F21" s="160"/>
      <c r="G21" s="156">
        <v>16</v>
      </c>
      <c r="H21" s="139"/>
    </row>
    <row r="22" spans="1:8">
      <c r="A22" s="155" t="s">
        <v>180</v>
      </c>
      <c r="B22" s="163"/>
      <c r="C22" s="157" t="s">
        <v>167</v>
      </c>
      <c r="D22" s="158">
        <v>9182.91</v>
      </c>
      <c r="E22" s="159"/>
      <c r="F22" s="160"/>
      <c r="G22" s="156">
        <v>16</v>
      </c>
      <c r="H22" s="139"/>
    </row>
    <row r="23" spans="1:8">
      <c r="A23" s="155" t="s">
        <v>181</v>
      </c>
      <c r="B23" s="163"/>
      <c r="C23" s="157" t="s">
        <v>167</v>
      </c>
      <c r="D23" s="158">
        <v>126281.69</v>
      </c>
      <c r="E23" s="159"/>
      <c r="F23" s="160"/>
      <c r="G23" s="156">
        <v>16</v>
      </c>
      <c r="H23" s="139"/>
    </row>
    <row r="24" spans="1:8">
      <c r="A24" s="155" t="s">
        <v>182</v>
      </c>
      <c r="B24" s="163"/>
      <c r="C24" s="157" t="s">
        <v>167</v>
      </c>
      <c r="D24" s="158">
        <v>9182.91</v>
      </c>
      <c r="E24" s="159"/>
      <c r="F24" s="160"/>
      <c r="G24" s="156">
        <v>16</v>
      </c>
      <c r="H24" s="139"/>
    </row>
    <row r="25" spans="1:8">
      <c r="A25" s="155" t="s">
        <v>183</v>
      </c>
      <c r="B25" s="163"/>
      <c r="C25" s="157" t="s">
        <v>167</v>
      </c>
      <c r="D25" s="158">
        <v>10526.14</v>
      </c>
      <c r="E25" s="159"/>
      <c r="F25" s="160"/>
      <c r="G25" s="156">
        <v>16</v>
      </c>
      <c r="H25" s="139"/>
    </row>
    <row r="26" spans="1:8">
      <c r="A26" s="155"/>
      <c r="B26" s="163"/>
      <c r="C26" s="157"/>
      <c r="D26" s="158"/>
      <c r="E26" s="159"/>
      <c r="F26" s="160"/>
      <c r="G26" s="156"/>
      <c r="H26" s="139"/>
    </row>
    <row r="27" spans="1:8">
      <c r="A27" s="155" t="s">
        <v>184</v>
      </c>
      <c r="B27" s="163"/>
      <c r="C27" s="157" t="s">
        <v>185</v>
      </c>
      <c r="D27" s="158">
        <v>3000</v>
      </c>
      <c r="E27" s="159"/>
      <c r="F27" s="160"/>
      <c r="G27" s="156"/>
      <c r="H27" s="139"/>
    </row>
    <row r="28" spans="1:8">
      <c r="A28" s="155" t="s">
        <v>186</v>
      </c>
      <c r="B28" s="163"/>
      <c r="C28" s="157" t="s">
        <v>187</v>
      </c>
      <c r="D28" s="158">
        <f>3800*2</f>
        <v>7600</v>
      </c>
      <c r="E28" s="159"/>
      <c r="F28" s="160"/>
      <c r="G28" s="156"/>
    </row>
    <row r="29" spans="1:8">
      <c r="A29" s="155">
        <v>26</v>
      </c>
      <c r="B29" s="163"/>
      <c r="C29" s="157" t="s">
        <v>188</v>
      </c>
      <c r="D29" s="158">
        <v>3800</v>
      </c>
      <c r="E29" s="159"/>
      <c r="F29" s="160"/>
      <c r="G29" s="156"/>
    </row>
    <row r="30" spans="1:8">
      <c r="A30" s="155" t="s">
        <v>189</v>
      </c>
      <c r="B30" s="163"/>
      <c r="C30" s="157" t="s">
        <v>190</v>
      </c>
      <c r="D30" s="158">
        <f>3200</f>
        <v>3200</v>
      </c>
      <c r="E30" s="159"/>
      <c r="F30" s="160"/>
      <c r="G30" s="156"/>
    </row>
    <row r="31" spans="1:8">
      <c r="A31" s="155" t="s">
        <v>191</v>
      </c>
      <c r="B31" s="163"/>
      <c r="C31" s="157" t="s">
        <v>192</v>
      </c>
      <c r="D31" s="158">
        <f>3700*2</f>
        <v>7400</v>
      </c>
      <c r="E31" s="159"/>
      <c r="F31" s="160"/>
      <c r="G31" s="156"/>
    </row>
    <row r="32" spans="1:8">
      <c r="A32" s="155">
        <v>25</v>
      </c>
      <c r="B32" s="163"/>
      <c r="C32" s="157" t="s">
        <v>193</v>
      </c>
      <c r="D32" s="158">
        <v>7000</v>
      </c>
      <c r="E32" s="159"/>
      <c r="F32" s="160"/>
      <c r="G32" s="156"/>
    </row>
    <row r="33" spans="1:10">
      <c r="A33" s="155"/>
      <c r="B33" s="163"/>
      <c r="C33" s="157"/>
      <c r="D33" s="158"/>
      <c r="E33" s="159"/>
      <c r="F33" s="160"/>
      <c r="G33" s="156"/>
    </row>
    <row r="34" spans="1:10">
      <c r="A34" s="155">
        <v>17</v>
      </c>
      <c r="B34" s="163"/>
      <c r="C34" s="157" t="s">
        <v>194</v>
      </c>
      <c r="D34" s="158">
        <f>1500</f>
        <v>1500</v>
      </c>
      <c r="E34" s="159"/>
      <c r="F34" s="160"/>
      <c r="G34" s="156"/>
    </row>
    <row r="35" spans="1:10">
      <c r="A35" s="155">
        <v>18</v>
      </c>
      <c r="B35" s="163"/>
      <c r="C35" s="157" t="s">
        <v>195</v>
      </c>
      <c r="D35" s="158">
        <v>1500</v>
      </c>
      <c r="E35" s="159"/>
      <c r="F35" s="160"/>
      <c r="G35" s="156"/>
    </row>
    <row r="36" spans="1:10">
      <c r="A36" s="155">
        <v>19</v>
      </c>
      <c r="B36" s="163"/>
      <c r="C36" s="157" t="s">
        <v>187</v>
      </c>
      <c r="D36" s="158">
        <f>3800</f>
        <v>3800</v>
      </c>
      <c r="E36" s="159"/>
      <c r="F36" s="160"/>
      <c r="G36" s="156"/>
    </row>
    <row r="37" spans="1:10">
      <c r="A37" s="155">
        <v>20</v>
      </c>
      <c r="B37" s="163"/>
      <c r="C37" s="157" t="s">
        <v>190</v>
      </c>
      <c r="D37" s="158">
        <f>3200</f>
        <v>3200</v>
      </c>
      <c r="E37" s="159"/>
      <c r="F37" s="160"/>
      <c r="G37" s="156"/>
    </row>
    <row r="38" spans="1:10">
      <c r="A38" s="155">
        <v>21</v>
      </c>
      <c r="B38" s="163"/>
      <c r="C38" s="157" t="s">
        <v>192</v>
      </c>
      <c r="D38" s="158">
        <f>3700</f>
        <v>3700</v>
      </c>
      <c r="E38" s="159"/>
      <c r="F38" s="160"/>
      <c r="G38" s="156"/>
    </row>
    <row r="39" spans="1:10">
      <c r="A39" s="155">
        <v>22</v>
      </c>
      <c r="B39" s="163"/>
      <c r="C39" s="157" t="s">
        <v>196</v>
      </c>
      <c r="D39" s="158">
        <v>1000</v>
      </c>
      <c r="E39" s="159"/>
      <c r="F39" s="160"/>
      <c r="G39" s="156"/>
    </row>
    <row r="40" spans="1:10">
      <c r="A40" s="155">
        <v>23</v>
      </c>
      <c r="B40" s="163"/>
      <c r="C40" s="157" t="s">
        <v>197</v>
      </c>
      <c r="D40" s="158">
        <v>7000</v>
      </c>
      <c r="E40" s="159"/>
      <c r="F40" s="160"/>
      <c r="G40" s="156"/>
    </row>
    <row r="41" spans="1:10">
      <c r="A41" s="155">
        <v>24</v>
      </c>
      <c r="B41" s="163"/>
      <c r="C41" s="157" t="s">
        <v>198</v>
      </c>
      <c r="D41" s="158">
        <v>4000</v>
      </c>
      <c r="E41" s="159"/>
      <c r="F41" s="160"/>
      <c r="G41" s="156"/>
    </row>
    <row r="42" spans="1:10">
      <c r="A42" s="155" t="s">
        <v>199</v>
      </c>
      <c r="B42" s="163"/>
      <c r="C42" s="157" t="s">
        <v>200</v>
      </c>
      <c r="D42" s="158">
        <v>80000</v>
      </c>
      <c r="E42" s="159"/>
      <c r="F42" s="160"/>
      <c r="G42" s="156">
        <v>16</v>
      </c>
      <c r="J42" s="169">
        <v>321433.76</v>
      </c>
    </row>
    <row r="43" spans="1:10">
      <c r="A43" s="155" t="s">
        <v>235</v>
      </c>
      <c r="B43" s="163"/>
      <c r="C43" s="157" t="s">
        <v>236</v>
      </c>
      <c r="D43" s="158">
        <v>120000</v>
      </c>
      <c r="E43" s="159"/>
      <c r="F43" s="160"/>
      <c r="G43" s="156">
        <v>16</v>
      </c>
    </row>
    <row r="44" spans="1:10">
      <c r="A44" s="155" t="s">
        <v>201</v>
      </c>
      <c r="B44" s="163"/>
      <c r="C44" s="157" t="s">
        <v>202</v>
      </c>
      <c r="D44" s="158">
        <v>0.01</v>
      </c>
      <c r="E44" s="159"/>
      <c r="F44" s="160"/>
      <c r="G44" s="156">
        <v>16</v>
      </c>
    </row>
    <row r="45" spans="1:10">
      <c r="A45" s="155"/>
      <c r="B45" s="163"/>
      <c r="C45" s="140"/>
      <c r="D45" s="158"/>
      <c r="E45" s="159"/>
      <c r="F45" s="160"/>
      <c r="G45" s="156"/>
    </row>
    <row r="46" spans="1:10">
      <c r="A46" s="155" t="s">
        <v>203</v>
      </c>
      <c r="B46" s="163"/>
      <c r="C46" s="157" t="s">
        <v>155</v>
      </c>
      <c r="D46" s="158">
        <v>13786.6</v>
      </c>
      <c r="E46" s="159"/>
      <c r="F46" s="160"/>
      <c r="G46" s="156">
        <v>16</v>
      </c>
    </row>
    <row r="47" spans="1:10">
      <c r="A47" s="170" t="s">
        <v>237</v>
      </c>
      <c r="B47" s="171"/>
      <c r="C47" s="172" t="s">
        <v>270</v>
      </c>
      <c r="D47" s="173">
        <v>90640</v>
      </c>
      <c r="E47" s="159"/>
      <c r="F47" s="160"/>
      <c r="G47" s="156"/>
    </row>
    <row r="48" spans="1:10">
      <c r="A48" s="155" t="s">
        <v>260</v>
      </c>
      <c r="B48" s="163"/>
      <c r="C48" s="140" t="s">
        <v>261</v>
      </c>
      <c r="D48" s="158">
        <v>175321.32</v>
      </c>
      <c r="E48" s="159"/>
      <c r="F48" s="160"/>
      <c r="G48" s="156"/>
    </row>
    <row r="49" spans="1:7">
      <c r="A49" s="155" t="s">
        <v>267</v>
      </c>
      <c r="B49" s="163"/>
      <c r="C49" s="140" t="s">
        <v>271</v>
      </c>
      <c r="D49" s="158"/>
      <c r="E49" s="159"/>
      <c r="F49" s="160"/>
      <c r="G49" s="156"/>
    </row>
    <row r="50" spans="1:7">
      <c r="A50" s="155" t="s">
        <v>268</v>
      </c>
      <c r="B50" s="163"/>
      <c r="C50" s="175" t="s">
        <v>275</v>
      </c>
      <c r="D50" s="158">
        <v>7175.7</v>
      </c>
      <c r="E50" s="159"/>
      <c r="F50" s="160"/>
      <c r="G50" s="156"/>
    </row>
    <row r="51" spans="1:7">
      <c r="A51" s="155" t="s">
        <v>269</v>
      </c>
      <c r="B51" s="163"/>
      <c r="C51" s="175" t="s">
        <v>276</v>
      </c>
      <c r="D51" s="158">
        <v>7175.7</v>
      </c>
      <c r="E51" s="159"/>
      <c r="F51" s="160"/>
      <c r="G51" s="156"/>
    </row>
    <row r="52" spans="1:7">
      <c r="A52" s="155" t="s">
        <v>272</v>
      </c>
      <c r="B52" s="163"/>
      <c r="C52" s="175" t="s">
        <v>277</v>
      </c>
      <c r="D52" s="158">
        <v>8363.6</v>
      </c>
      <c r="E52" s="159"/>
      <c r="F52" s="160"/>
      <c r="G52" s="156"/>
    </row>
    <row r="53" spans="1:7">
      <c r="A53" s="155" t="s">
        <v>273</v>
      </c>
      <c r="B53" s="163"/>
      <c r="C53" s="175" t="s">
        <v>278</v>
      </c>
      <c r="D53" s="158">
        <v>7175.7</v>
      </c>
      <c r="E53" s="159"/>
      <c r="F53" s="160"/>
      <c r="G53" s="156"/>
    </row>
    <row r="54" spans="1:7">
      <c r="A54" s="155" t="s">
        <v>274</v>
      </c>
      <c r="B54" s="163"/>
      <c r="C54" s="175" t="s">
        <v>279</v>
      </c>
      <c r="D54" s="158">
        <v>7175.7</v>
      </c>
      <c r="E54" s="159"/>
      <c r="F54" s="160"/>
      <c r="G54" s="156"/>
    </row>
    <row r="55" spans="1:7">
      <c r="A55" s="155"/>
      <c r="B55" s="163"/>
      <c r="C55" s="140"/>
      <c r="D55" s="158"/>
      <c r="E55" s="159"/>
      <c r="F55" s="160"/>
      <c r="G55" s="156"/>
    </row>
    <row r="56" spans="1:7">
      <c r="A56" s="155"/>
      <c r="B56" s="163"/>
      <c r="C56" s="140"/>
      <c r="D56" s="158"/>
      <c r="E56" s="159"/>
      <c r="F56" s="160"/>
      <c r="G56" s="156"/>
    </row>
    <row r="57" spans="1:7">
      <c r="A57" s="155"/>
      <c r="B57" s="163"/>
      <c r="C57" s="140"/>
      <c r="D57" s="158"/>
      <c r="E57" s="159"/>
      <c r="F57" s="160"/>
      <c r="G57" s="156"/>
    </row>
    <row r="58" spans="1:7">
      <c r="A58" s="155"/>
      <c r="B58" s="163"/>
      <c r="C58" s="140"/>
      <c r="D58" s="158"/>
      <c r="E58" s="159"/>
      <c r="F58" s="160"/>
      <c r="G58" s="156"/>
    </row>
    <row r="59" spans="1:7">
      <c r="A59" s="155"/>
      <c r="B59" s="163"/>
      <c r="C59" s="140"/>
      <c r="D59" s="158"/>
      <c r="E59" s="159"/>
      <c r="F59" s="160"/>
      <c r="G59" s="156"/>
    </row>
    <row r="60" spans="1:7">
      <c r="A60" s="155"/>
      <c r="B60" s="163"/>
      <c r="C60" s="157"/>
      <c r="D60" s="158"/>
      <c r="E60" s="159"/>
      <c r="F60" s="160"/>
      <c r="G60" s="156"/>
    </row>
    <row r="61" spans="1:7">
      <c r="A61" s="155" t="s">
        <v>204</v>
      </c>
      <c r="B61" s="163"/>
      <c r="C61" s="140" t="s">
        <v>205</v>
      </c>
      <c r="D61" s="158"/>
      <c r="E61" s="159"/>
      <c r="F61" s="160"/>
      <c r="G61" s="156"/>
    </row>
    <row r="62" spans="1:7">
      <c r="A62" s="155" t="s">
        <v>206</v>
      </c>
      <c r="B62" s="163"/>
      <c r="C62" s="140" t="s">
        <v>207</v>
      </c>
      <c r="D62" s="158"/>
      <c r="E62" s="159"/>
      <c r="F62" s="160"/>
      <c r="G62" s="156"/>
    </row>
    <row r="63" spans="1:7">
      <c r="A63" s="155" t="s">
        <v>208</v>
      </c>
      <c r="B63" s="163"/>
      <c r="C63" s="140" t="s">
        <v>209</v>
      </c>
      <c r="D63" s="158"/>
      <c r="E63" s="159"/>
      <c r="F63" s="160"/>
      <c r="G63" s="156"/>
    </row>
    <row r="64" spans="1:7">
      <c r="A64" s="155" t="s">
        <v>210</v>
      </c>
      <c r="B64" s="163"/>
      <c r="C64" s="140" t="s">
        <v>211</v>
      </c>
      <c r="D64" s="158"/>
      <c r="E64" s="159"/>
      <c r="F64" s="160"/>
      <c r="G64" s="156"/>
    </row>
    <row r="65" spans="1:7">
      <c r="A65" s="155" t="s">
        <v>212</v>
      </c>
      <c r="B65" s="163"/>
      <c r="C65" s="164" t="s">
        <v>213</v>
      </c>
      <c r="D65" s="158"/>
      <c r="E65" s="159"/>
      <c r="F65" s="160"/>
      <c r="G65" s="156"/>
    </row>
    <row r="66" spans="1:7">
      <c r="A66" s="155" t="s">
        <v>214</v>
      </c>
      <c r="B66" s="163"/>
      <c r="C66" s="165" t="s">
        <v>215</v>
      </c>
      <c r="D66" s="158"/>
      <c r="E66" s="159"/>
      <c r="F66" s="160"/>
      <c r="G66" s="156"/>
    </row>
    <row r="67" spans="1:7">
      <c r="A67" s="155"/>
      <c r="B67" s="163"/>
      <c r="C67" s="157"/>
      <c r="D67" s="158"/>
      <c r="E67" s="159"/>
      <c r="F67" s="160"/>
      <c r="G67" s="156"/>
    </row>
    <row r="68" spans="1:7">
      <c r="A68" s="155"/>
      <c r="B68" s="163"/>
      <c r="C68" s="157"/>
      <c r="D68" s="158"/>
      <c r="E68" s="159"/>
      <c r="F68" s="160"/>
      <c r="G68" s="156"/>
    </row>
    <row r="69" spans="1:7">
      <c r="A69" s="155" t="s">
        <v>216</v>
      </c>
      <c r="B69" s="163"/>
      <c r="C69" s="157" t="s">
        <v>217</v>
      </c>
      <c r="D69" s="158">
        <v>6412.82</v>
      </c>
      <c r="E69" s="159"/>
      <c r="F69" s="160"/>
      <c r="G69" s="156">
        <v>16</v>
      </c>
    </row>
    <row r="70" spans="1:7">
      <c r="A70" s="155" t="s">
        <v>218</v>
      </c>
      <c r="B70" s="163"/>
      <c r="C70" s="157" t="s">
        <v>219</v>
      </c>
      <c r="D70" s="158">
        <v>775.25</v>
      </c>
      <c r="E70" s="157"/>
      <c r="F70" s="160"/>
      <c r="G70" s="156">
        <v>16</v>
      </c>
    </row>
    <row r="71" spans="1:7">
      <c r="A71" s="155" t="s">
        <v>220</v>
      </c>
      <c r="B71" s="163"/>
      <c r="C71" s="157" t="s">
        <v>221</v>
      </c>
      <c r="D71" s="158">
        <v>18233.87</v>
      </c>
      <c r="E71" s="159"/>
      <c r="F71" s="160"/>
      <c r="G71" s="156">
        <v>16</v>
      </c>
    </row>
    <row r="72" spans="1:7">
      <c r="A72" s="155" t="s">
        <v>222</v>
      </c>
      <c r="B72" s="163"/>
      <c r="C72" s="157" t="s">
        <v>223</v>
      </c>
      <c r="D72" s="158">
        <v>31209.98</v>
      </c>
      <c r="E72" s="159"/>
      <c r="F72" s="160"/>
      <c r="G72" s="156">
        <v>16</v>
      </c>
    </row>
    <row r="73" spans="1:7">
      <c r="A73" s="155" t="s">
        <v>224</v>
      </c>
      <c r="B73" s="163"/>
      <c r="C73" s="157" t="s">
        <v>225</v>
      </c>
      <c r="D73" s="158">
        <v>798.56</v>
      </c>
      <c r="E73" s="159"/>
      <c r="F73" s="160"/>
      <c r="G73" s="156">
        <v>16</v>
      </c>
    </row>
    <row r="74" spans="1:7">
      <c r="A74" s="155"/>
      <c r="B74" s="163"/>
      <c r="C74" s="157"/>
      <c r="D74" s="158"/>
      <c r="E74" s="159"/>
      <c r="F74" s="160"/>
      <c r="G74" s="156"/>
    </row>
    <row r="75" spans="1:7">
      <c r="A75" s="155"/>
      <c r="B75" s="163"/>
      <c r="C75" s="157"/>
      <c r="D75" s="158"/>
      <c r="E75" s="159"/>
      <c r="F75" s="160"/>
      <c r="G75" s="156"/>
    </row>
    <row r="76" spans="1:7">
      <c r="A76" s="155"/>
      <c r="B76" s="163"/>
      <c r="C76" s="157"/>
      <c r="D76" s="158"/>
      <c r="E76" s="159"/>
      <c r="F76" s="160"/>
      <c r="G76" s="156"/>
    </row>
    <row r="77" spans="1:7">
      <c r="A77" s="155"/>
      <c r="B77" s="163"/>
      <c r="C77" s="157"/>
      <c r="D77" s="158"/>
      <c r="E77" s="159"/>
      <c r="F77" s="160"/>
      <c r="G77" s="156"/>
    </row>
    <row r="78" spans="1:7">
      <c r="A78" s="155"/>
      <c r="B78" s="163"/>
      <c r="C78" s="157"/>
      <c r="D78" s="158"/>
      <c r="E78" s="159"/>
      <c r="F78" s="160"/>
      <c r="G78" s="156"/>
    </row>
    <row r="79" spans="1:7">
      <c r="A79" s="155"/>
      <c r="B79" s="163"/>
      <c r="C79" s="157"/>
      <c r="D79" s="158"/>
      <c r="E79" s="159"/>
      <c r="F79" s="160"/>
      <c r="G79" s="156"/>
    </row>
    <row r="80" spans="1:7">
      <c r="A80" s="155"/>
      <c r="B80" s="163"/>
      <c r="C80" s="157"/>
      <c r="D80" s="158"/>
      <c r="E80" s="159"/>
      <c r="F80" s="160"/>
      <c r="G80" s="156"/>
    </row>
    <row r="81" spans="1:7">
      <c r="A81" s="155"/>
      <c r="B81" s="163"/>
      <c r="C81" s="157"/>
      <c r="D81" s="158"/>
      <c r="E81" s="159"/>
      <c r="F81" s="160"/>
      <c r="G81" s="156"/>
    </row>
    <row r="82" spans="1:7">
      <c r="A82" s="155"/>
      <c r="B82" s="163"/>
      <c r="C82" s="157"/>
      <c r="D82" s="158"/>
      <c r="E82" s="159"/>
      <c r="F82" s="160"/>
      <c r="G82" s="156"/>
    </row>
    <row r="83" spans="1:7">
      <c r="A83" s="155"/>
      <c r="B83" s="163"/>
      <c r="C83" s="157"/>
      <c r="D83" s="158"/>
      <c r="E83" s="159"/>
      <c r="F83" s="160"/>
      <c r="G83" s="156"/>
    </row>
    <row r="84" spans="1:7">
      <c r="A84" s="155"/>
      <c r="B84" s="163"/>
      <c r="C84" s="157"/>
      <c r="D84" s="158"/>
      <c r="E84" s="159"/>
      <c r="F84" s="160"/>
      <c r="G84" s="156"/>
    </row>
    <row r="85" spans="1:7">
      <c r="A85" s="155"/>
      <c r="B85" s="163"/>
      <c r="C85" s="157"/>
      <c r="D85" s="158"/>
      <c r="E85" s="159"/>
      <c r="F85" s="160"/>
      <c r="G85" s="156"/>
    </row>
    <row r="86" spans="1:7">
      <c r="A86" s="155"/>
      <c r="B86" s="163"/>
      <c r="C86" s="157"/>
      <c r="D86" s="158"/>
      <c r="E86" s="159"/>
      <c r="F86" s="160"/>
      <c r="G86" s="156"/>
    </row>
    <row r="87" spans="1:7">
      <c r="A87" s="155"/>
      <c r="B87" s="163"/>
      <c r="C87" s="157"/>
      <c r="D87" s="158"/>
      <c r="E87" s="159"/>
      <c r="F87" s="160"/>
      <c r="G87" s="156"/>
    </row>
    <row r="88" spans="1:7">
      <c r="A88" s="155"/>
      <c r="B88" s="163"/>
      <c r="C88" s="157"/>
      <c r="D88" s="158"/>
      <c r="E88" s="159"/>
      <c r="F88" s="160"/>
      <c r="G88" s="156"/>
    </row>
    <row r="89" spans="1:7">
      <c r="A89" s="155"/>
      <c r="B89" s="163"/>
      <c r="C89" s="157"/>
      <c r="D89" s="158"/>
      <c r="E89" s="159"/>
      <c r="F89" s="160"/>
      <c r="G89" s="156"/>
    </row>
    <row r="90" spans="1:7">
      <c r="A90" s="155"/>
      <c r="B90" s="163"/>
      <c r="C90" s="157"/>
      <c r="D90" s="158"/>
      <c r="E90" s="159"/>
      <c r="F90" s="160"/>
      <c r="G90" s="156"/>
    </row>
    <row r="91" spans="1:7">
      <c r="A91" s="155"/>
      <c r="B91" s="163"/>
      <c r="C91" s="157"/>
      <c r="D91" s="158"/>
      <c r="E91" s="159"/>
      <c r="F91" s="160"/>
      <c r="G91" s="156"/>
    </row>
    <row r="92" spans="1:7">
      <c r="A92" s="155"/>
      <c r="B92" s="163"/>
      <c r="C92" s="157"/>
      <c r="D92" s="158"/>
      <c r="E92" s="159"/>
      <c r="F92" s="160"/>
      <c r="G92" s="156"/>
    </row>
    <row r="93" spans="1:7">
      <c r="A93" s="155"/>
      <c r="B93" s="163"/>
      <c r="C93" s="157"/>
      <c r="D93" s="158"/>
      <c r="E93" s="159"/>
      <c r="F93" s="160"/>
      <c r="G93" s="156"/>
    </row>
    <row r="94" spans="1:7">
      <c r="A94" s="155"/>
      <c r="B94" s="163"/>
      <c r="C94" s="157"/>
      <c r="D94" s="158"/>
      <c r="E94" s="159"/>
      <c r="F94" s="160"/>
      <c r="G94" s="156"/>
    </row>
    <row r="95" spans="1:7">
      <c r="A95" s="155"/>
      <c r="B95" s="163"/>
      <c r="C95" s="157"/>
      <c r="D95" s="158"/>
      <c r="E95" s="159"/>
      <c r="F95" s="160"/>
      <c r="G95" s="156"/>
    </row>
    <row r="96" spans="1:7">
      <c r="A96" s="155"/>
      <c r="B96" s="163"/>
      <c r="C96" s="157"/>
      <c r="D96" s="158"/>
      <c r="E96" s="159"/>
      <c r="F96" s="160"/>
      <c r="G96" s="156"/>
    </row>
    <row r="97" spans="1:7">
      <c r="A97" s="155"/>
      <c r="B97" s="163"/>
      <c r="C97" s="157"/>
      <c r="D97" s="158"/>
      <c r="E97" s="159"/>
      <c r="F97" s="160"/>
      <c r="G97" s="156"/>
    </row>
    <row r="98" spans="1:7">
      <c r="A98" s="155"/>
      <c r="B98" s="163"/>
      <c r="C98" s="157"/>
      <c r="D98" s="158"/>
      <c r="E98" s="159"/>
      <c r="F98" s="160"/>
      <c r="G98" s="156"/>
    </row>
    <row r="99" spans="1:7">
      <c r="A99" s="155"/>
      <c r="B99" s="163"/>
      <c r="C99" s="157"/>
      <c r="D99" s="158"/>
      <c r="E99" s="159"/>
      <c r="F99" s="160"/>
      <c r="G99" s="156"/>
    </row>
    <row r="100" spans="1:7">
      <c r="A100" s="155"/>
      <c r="B100" s="163"/>
      <c r="C100" s="157"/>
      <c r="D100" s="158"/>
      <c r="E100" s="159"/>
      <c r="F100" s="160"/>
      <c r="G100" s="156"/>
    </row>
    <row r="101" spans="1:7">
      <c r="A101" s="155"/>
      <c r="B101" s="163"/>
      <c r="C101" s="157"/>
      <c r="D101" s="158"/>
      <c r="E101" s="159"/>
      <c r="F101" s="160"/>
      <c r="G101" s="156"/>
    </row>
    <row r="102" spans="1:7">
      <c r="A102" s="155"/>
      <c r="B102" s="163"/>
      <c r="C102" s="157"/>
      <c r="D102" s="158"/>
      <c r="E102" s="159"/>
      <c r="F102" s="160"/>
      <c r="G102" s="156"/>
    </row>
    <row r="103" spans="1:7">
      <c r="A103" s="155"/>
      <c r="B103" s="163"/>
      <c r="C103" s="157"/>
      <c r="D103" s="158"/>
      <c r="E103" s="159"/>
      <c r="F103" s="160"/>
      <c r="G103" s="156"/>
    </row>
    <row r="104" spans="1:7">
      <c r="A104" s="155"/>
      <c r="B104" s="163"/>
      <c r="C104" s="157"/>
      <c r="D104" s="158"/>
      <c r="E104" s="159"/>
      <c r="F104" s="160"/>
      <c r="G104" s="156"/>
    </row>
    <row r="105" spans="1:7">
      <c r="A105" s="155"/>
      <c r="B105" s="163"/>
      <c r="C105" s="157"/>
      <c r="D105" s="158"/>
      <c r="E105" s="159"/>
      <c r="F105" s="160"/>
      <c r="G105" s="156"/>
    </row>
    <row r="106" spans="1:7">
      <c r="A106" s="155"/>
      <c r="B106" s="163"/>
      <c r="C106" s="157"/>
      <c r="D106" s="158"/>
      <c r="E106" s="159"/>
      <c r="F106" s="160"/>
      <c r="G106" s="156"/>
    </row>
    <row r="107" spans="1:7">
      <c r="A107" s="155"/>
      <c r="B107" s="163"/>
      <c r="C107" s="157"/>
      <c r="D107" s="158"/>
      <c r="E107" s="159"/>
      <c r="F107" s="160"/>
      <c r="G107" s="156"/>
    </row>
    <row r="108" spans="1:7">
      <c r="A108" s="155"/>
      <c r="B108" s="163"/>
      <c r="C108" s="157"/>
      <c r="D108" s="158"/>
      <c r="E108" s="159"/>
      <c r="F108" s="160"/>
      <c r="G108" s="156"/>
    </row>
    <row r="109" spans="1:7">
      <c r="A109" s="155"/>
      <c r="B109" s="163"/>
      <c r="C109" s="157"/>
      <c r="D109" s="158"/>
      <c r="E109" s="159"/>
      <c r="F109" s="160"/>
      <c r="G109" s="156"/>
    </row>
    <row r="110" spans="1:7">
      <c r="A110" s="155"/>
      <c r="B110" s="163"/>
      <c r="C110" s="157"/>
      <c r="D110" s="158"/>
      <c r="E110" s="159"/>
      <c r="F110" s="160"/>
      <c r="G110" s="156"/>
    </row>
    <row r="111" spans="1:7">
      <c r="A111" s="155"/>
      <c r="B111" s="163"/>
      <c r="C111" s="157"/>
      <c r="D111" s="158"/>
      <c r="E111" s="159"/>
      <c r="F111" s="160"/>
      <c r="G111" s="156"/>
    </row>
    <row r="112" spans="1:7">
      <c r="A112" s="155"/>
      <c r="B112" s="163"/>
      <c r="C112" s="157"/>
      <c r="D112" s="158"/>
      <c r="E112" s="159"/>
      <c r="F112" s="160"/>
      <c r="G112" s="156"/>
    </row>
    <row r="113" spans="1:7">
      <c r="A113" s="155"/>
      <c r="B113" s="163"/>
      <c r="C113" s="157"/>
      <c r="D113" s="158"/>
      <c r="E113" s="159"/>
      <c r="F113" s="160"/>
      <c r="G113" s="156"/>
    </row>
    <row r="114" spans="1:7">
      <c r="A114" s="155"/>
      <c r="B114" s="163"/>
      <c r="C114" s="157"/>
      <c r="D114" s="158"/>
      <c r="E114" s="159"/>
      <c r="F114" s="160"/>
      <c r="G114" s="156"/>
    </row>
    <row r="115" spans="1:7">
      <c r="A115" s="155"/>
      <c r="B115" s="163"/>
      <c r="C115" s="157"/>
      <c r="D115" s="158"/>
      <c r="E115" s="159"/>
      <c r="F115" s="160"/>
      <c r="G115" s="156"/>
    </row>
    <row r="116" spans="1:7">
      <c r="A116" s="155"/>
      <c r="B116" s="163"/>
      <c r="C116" s="157"/>
      <c r="D116" s="158"/>
      <c r="E116" s="159"/>
      <c r="F116" s="160"/>
      <c r="G116" s="156"/>
    </row>
    <row r="117" spans="1:7">
      <c r="A117" s="155"/>
      <c r="B117" s="163"/>
      <c r="C117" s="157"/>
      <c r="D117" s="158"/>
      <c r="E117" s="159"/>
      <c r="F117" s="160"/>
      <c r="G117" s="156"/>
    </row>
    <row r="118" spans="1:7">
      <c r="A118" s="155"/>
      <c r="B118" s="163"/>
      <c r="C118" s="157"/>
      <c r="D118" s="158"/>
      <c r="E118" s="159"/>
      <c r="F118" s="160"/>
      <c r="G118" s="156"/>
    </row>
    <row r="119" spans="1:7">
      <c r="A119" s="155"/>
      <c r="B119" s="163"/>
      <c r="C119" s="157"/>
      <c r="D119" s="158"/>
      <c r="E119" s="159"/>
      <c r="F119" s="160"/>
      <c r="G119" s="156"/>
    </row>
    <row r="120" spans="1:7">
      <c r="A120" s="155"/>
      <c r="B120" s="163"/>
      <c r="C120" s="157"/>
      <c r="D120" s="158"/>
      <c r="E120" s="159"/>
      <c r="F120" s="160"/>
      <c r="G120" s="156"/>
    </row>
    <row r="121" spans="1:7">
      <c r="A121" s="155"/>
      <c r="B121" s="163"/>
      <c r="C121" s="157"/>
      <c r="D121" s="158"/>
      <c r="E121" s="159"/>
      <c r="F121" s="160"/>
      <c r="G121" s="156"/>
    </row>
    <row r="122" spans="1:7">
      <c r="A122" s="155"/>
      <c r="B122" s="163"/>
      <c r="C122" s="157"/>
      <c r="D122" s="158"/>
      <c r="E122" s="159"/>
      <c r="F122" s="160"/>
      <c r="G122" s="156"/>
    </row>
    <row r="123" spans="1:7">
      <c r="A123" s="155"/>
      <c r="B123" s="163"/>
      <c r="C123" s="157"/>
      <c r="D123" s="158"/>
      <c r="E123" s="159"/>
      <c r="F123" s="160"/>
      <c r="G123" s="156"/>
    </row>
    <row r="124" spans="1:7">
      <c r="A124" s="155"/>
      <c r="B124" s="163"/>
      <c r="C124" s="157"/>
      <c r="D124" s="158"/>
      <c r="E124" s="159"/>
      <c r="F124" s="160"/>
      <c r="G124" s="156"/>
    </row>
    <row r="125" spans="1:7">
      <c r="A125" s="155"/>
      <c r="B125" s="163"/>
      <c r="C125" s="157"/>
      <c r="D125" s="158"/>
      <c r="E125" s="159"/>
      <c r="F125" s="160"/>
      <c r="G125" s="156"/>
    </row>
    <row r="126" spans="1:7">
      <c r="A126" s="155"/>
      <c r="B126" s="163"/>
      <c r="C126" s="157"/>
      <c r="D126" s="158"/>
      <c r="E126" s="159"/>
      <c r="F126" s="160"/>
      <c r="G126" s="156"/>
    </row>
    <row r="127" spans="1:7">
      <c r="A127" s="155"/>
      <c r="B127" s="163"/>
      <c r="C127" s="157"/>
      <c r="D127" s="158"/>
      <c r="E127" s="159"/>
      <c r="F127" s="160"/>
      <c r="G127" s="156"/>
    </row>
    <row r="128" spans="1:7">
      <c r="A128" s="155"/>
      <c r="B128" s="163"/>
      <c r="C128" s="157"/>
      <c r="D128" s="158"/>
      <c r="E128" s="159"/>
      <c r="F128" s="160"/>
      <c r="G128" s="156"/>
    </row>
    <row r="129" spans="1:7">
      <c r="A129" s="155"/>
      <c r="B129" s="163"/>
      <c r="C129" s="157"/>
      <c r="D129" s="158"/>
      <c r="E129" s="159"/>
      <c r="F129" s="160"/>
      <c r="G129" s="156"/>
    </row>
    <row r="130" spans="1:7">
      <c r="A130" s="155"/>
      <c r="B130" s="163"/>
      <c r="C130" s="157"/>
      <c r="D130" s="158"/>
      <c r="E130" s="159"/>
      <c r="F130" s="160"/>
      <c r="G130" s="156"/>
    </row>
    <row r="131" spans="1:7">
      <c r="A131" s="155"/>
      <c r="B131" s="163"/>
      <c r="C131" s="157"/>
      <c r="D131" s="158"/>
      <c r="E131" s="159"/>
      <c r="F131" s="160"/>
      <c r="G131" s="156"/>
    </row>
    <row r="132" spans="1:7">
      <c r="A132" s="155"/>
      <c r="B132" s="163"/>
      <c r="C132" s="157"/>
      <c r="D132" s="158"/>
      <c r="E132" s="159"/>
      <c r="F132" s="160"/>
      <c r="G132" s="156"/>
    </row>
    <row r="133" spans="1:7">
      <c r="A133" s="155"/>
      <c r="B133" s="163"/>
      <c r="C133" s="157"/>
      <c r="D133" s="158"/>
      <c r="E133" s="159"/>
      <c r="F133" s="160"/>
      <c r="G133" s="156"/>
    </row>
    <row r="134" spans="1:7">
      <c r="A134" s="155"/>
      <c r="B134" s="163"/>
      <c r="C134" s="157"/>
      <c r="D134" s="158"/>
      <c r="E134" s="159"/>
      <c r="F134" s="160"/>
      <c r="G134" s="156"/>
    </row>
    <row r="135" spans="1:7">
      <c r="A135" s="155"/>
      <c r="B135" s="163"/>
      <c r="C135" s="157"/>
      <c r="D135" s="158"/>
      <c r="E135" s="159"/>
      <c r="F135" s="160"/>
      <c r="G135" s="156"/>
    </row>
    <row r="136" spans="1:7">
      <c r="A136" s="155"/>
      <c r="B136" s="163"/>
      <c r="C136" s="157"/>
      <c r="D136" s="158"/>
      <c r="E136" s="159"/>
      <c r="F136" s="160"/>
      <c r="G136" s="156"/>
    </row>
    <row r="137" spans="1:7">
      <c r="A137" s="155"/>
      <c r="B137" s="163"/>
      <c r="C137" s="157"/>
      <c r="D137" s="158"/>
      <c r="E137" s="159"/>
      <c r="F137" s="160"/>
      <c r="G137" s="156"/>
    </row>
    <row r="138" spans="1:7">
      <c r="A138" s="155"/>
      <c r="B138" s="163"/>
      <c r="C138" s="157"/>
      <c r="D138" s="158"/>
      <c r="E138" s="159"/>
      <c r="F138" s="160"/>
      <c r="G138" s="156"/>
    </row>
    <row r="139" spans="1:7">
      <c r="A139" s="155"/>
      <c r="B139" s="163"/>
      <c r="C139" s="157"/>
      <c r="D139" s="158"/>
      <c r="E139" s="159"/>
      <c r="F139" s="160"/>
      <c r="G139" s="156"/>
    </row>
    <row r="140" spans="1:7">
      <c r="A140" s="155"/>
      <c r="B140" s="163"/>
      <c r="C140" s="157"/>
      <c r="D140" s="158"/>
      <c r="E140" s="159"/>
      <c r="F140" s="160"/>
      <c r="G140" s="156"/>
    </row>
    <row r="141" spans="1:7">
      <c r="A141" s="155"/>
      <c r="B141" s="163"/>
      <c r="C141" s="157"/>
      <c r="D141" s="158"/>
      <c r="E141" s="159"/>
      <c r="F141" s="160"/>
      <c r="G141" s="156"/>
    </row>
    <row r="142" spans="1:7">
      <c r="A142" s="155"/>
      <c r="B142" s="163"/>
      <c r="C142" s="157"/>
      <c r="D142" s="158"/>
      <c r="E142" s="159"/>
      <c r="F142" s="160"/>
      <c r="G142" s="156"/>
    </row>
    <row r="143" spans="1:7">
      <c r="A143" s="155"/>
      <c r="B143" s="163"/>
      <c r="C143" s="157"/>
      <c r="D143" s="158"/>
      <c r="E143" s="159"/>
      <c r="F143" s="160"/>
      <c r="G143" s="156"/>
    </row>
    <row r="144" spans="1:7">
      <c r="A144" s="155"/>
      <c r="B144" s="163"/>
      <c r="C144" s="157"/>
      <c r="D144" s="158"/>
      <c r="E144" s="159"/>
      <c r="F144" s="160"/>
      <c r="G144" s="156"/>
    </row>
    <row r="145" spans="1:7">
      <c r="A145" s="155"/>
      <c r="B145" s="163"/>
      <c r="C145" s="157"/>
      <c r="D145" s="158"/>
      <c r="E145" s="159"/>
      <c r="F145" s="160"/>
      <c r="G145" s="156"/>
    </row>
    <row r="146" spans="1:7">
      <c r="A146" s="155"/>
      <c r="B146" s="163"/>
      <c r="C146" s="157"/>
      <c r="D146" s="158"/>
      <c r="E146" s="159"/>
      <c r="F146" s="160"/>
      <c r="G146" s="156"/>
    </row>
    <row r="147" spans="1:7">
      <c r="A147" s="155"/>
      <c r="B147" s="163"/>
      <c r="C147" s="157"/>
      <c r="D147" s="158"/>
      <c r="E147" s="159"/>
      <c r="F147" s="160"/>
      <c r="G147" s="156"/>
    </row>
    <row r="148" spans="1:7">
      <c r="A148" s="155"/>
      <c r="B148" s="163"/>
      <c r="C148" s="157"/>
      <c r="D148" s="158"/>
      <c r="E148" s="159"/>
      <c r="F148" s="160"/>
      <c r="G148" s="156"/>
    </row>
    <row r="149" spans="1:7">
      <c r="A149" s="155"/>
      <c r="B149" s="163"/>
      <c r="C149" s="157"/>
      <c r="D149" s="158"/>
      <c r="E149" s="159"/>
      <c r="F149" s="160"/>
      <c r="G149" s="156"/>
    </row>
    <row r="150" spans="1:7">
      <c r="A150" s="155"/>
      <c r="B150" s="163"/>
      <c r="C150" s="157"/>
      <c r="D150" s="158"/>
      <c r="E150" s="159"/>
      <c r="F150" s="160"/>
      <c r="G150" s="156"/>
    </row>
    <row r="151" spans="1:7">
      <c r="A151" s="155"/>
      <c r="B151" s="163"/>
      <c r="C151" s="157"/>
      <c r="D151" s="158"/>
      <c r="E151" s="159"/>
      <c r="F151" s="160"/>
      <c r="G151" s="156"/>
    </row>
    <row r="152" spans="1:7">
      <c r="A152" s="155"/>
      <c r="B152" s="163"/>
      <c r="C152" s="157"/>
      <c r="D152" s="158"/>
      <c r="E152" s="159"/>
      <c r="F152" s="160"/>
      <c r="G152" s="156"/>
    </row>
    <row r="153" spans="1:7">
      <c r="A153" s="155"/>
      <c r="B153" s="163"/>
      <c r="C153" s="157"/>
      <c r="D153" s="158"/>
      <c r="E153" s="159"/>
      <c r="F153" s="160"/>
      <c r="G153" s="156"/>
    </row>
    <row r="154" spans="1:7">
      <c r="A154" s="155"/>
      <c r="B154" s="163"/>
      <c r="C154" s="157"/>
      <c r="D154" s="158"/>
      <c r="E154" s="159"/>
      <c r="F154" s="160"/>
      <c r="G154" s="156"/>
    </row>
    <row r="155" spans="1:7">
      <c r="A155" s="155"/>
      <c r="B155" s="163"/>
      <c r="C155" s="157"/>
      <c r="D155" s="158"/>
      <c r="E155" s="159"/>
      <c r="F155" s="160"/>
      <c r="G155" s="156"/>
    </row>
    <row r="156" spans="1:7">
      <c r="A156" s="155"/>
      <c r="B156" s="163"/>
      <c r="C156" s="157"/>
      <c r="D156" s="158"/>
      <c r="E156" s="159"/>
      <c r="F156" s="160"/>
      <c r="G156" s="156"/>
    </row>
    <row r="157" spans="1:7">
      <c r="A157" s="155"/>
      <c r="B157" s="163"/>
      <c r="C157" s="157"/>
      <c r="D157" s="158"/>
      <c r="E157" s="159"/>
      <c r="F157" s="160"/>
      <c r="G157" s="156"/>
    </row>
    <row r="158" spans="1:7">
      <c r="A158" s="155"/>
      <c r="B158" s="163"/>
      <c r="C158" s="157"/>
      <c r="D158" s="158"/>
      <c r="E158" s="159"/>
      <c r="F158" s="160"/>
      <c r="G158" s="156"/>
    </row>
    <row r="159" spans="1:7">
      <c r="A159" s="155"/>
      <c r="B159" s="163"/>
      <c r="C159" s="157"/>
      <c r="D159" s="158"/>
      <c r="E159" s="159"/>
      <c r="F159" s="160"/>
      <c r="G159" s="156"/>
    </row>
    <row r="160" spans="1:7">
      <c r="A160" s="155"/>
      <c r="B160" s="163"/>
      <c r="C160" s="157"/>
      <c r="D160" s="158"/>
      <c r="E160" s="159"/>
      <c r="F160" s="160"/>
      <c r="G160" s="156"/>
    </row>
    <row r="161" spans="1:7">
      <c r="A161" s="155"/>
      <c r="B161" s="163"/>
      <c r="C161" s="157"/>
      <c r="D161" s="158"/>
      <c r="E161" s="159"/>
      <c r="F161" s="160"/>
      <c r="G161" s="156"/>
    </row>
    <row r="162" spans="1:7">
      <c r="A162" s="155"/>
      <c r="B162" s="163"/>
      <c r="C162" s="157"/>
      <c r="D162" s="158"/>
      <c r="E162" s="159"/>
      <c r="F162" s="160"/>
      <c r="G162" s="156"/>
    </row>
    <row r="163" spans="1:7">
      <c r="A163" s="155"/>
      <c r="B163" s="163"/>
      <c r="C163" s="157"/>
      <c r="D163" s="158"/>
      <c r="E163" s="159"/>
      <c r="F163" s="160"/>
      <c r="G163" s="156"/>
    </row>
    <row r="164" spans="1:7">
      <c r="A164" s="155"/>
      <c r="B164" s="163"/>
      <c r="C164" s="157"/>
      <c r="D164" s="158"/>
      <c r="E164" s="159"/>
      <c r="F164" s="160"/>
      <c r="G164" s="156"/>
    </row>
    <row r="165" spans="1:7">
      <c r="A165" s="155"/>
      <c r="B165" s="163"/>
      <c r="C165" s="157"/>
      <c r="D165" s="158"/>
      <c r="E165" s="159"/>
      <c r="F165" s="160"/>
      <c r="G165" s="156"/>
    </row>
    <row r="166" spans="1:7">
      <c r="A166" s="155"/>
      <c r="B166" s="163"/>
      <c r="C166" s="157"/>
      <c r="D166" s="158"/>
      <c r="E166" s="159"/>
      <c r="F166" s="160"/>
      <c r="G166" s="156"/>
    </row>
    <row r="167" spans="1:7">
      <c r="A167" s="155"/>
      <c r="B167" s="163"/>
      <c r="C167" s="157"/>
      <c r="D167" s="158"/>
      <c r="E167" s="159"/>
      <c r="F167" s="160"/>
      <c r="G167" s="156"/>
    </row>
    <row r="168" spans="1:7">
      <c r="A168" s="155"/>
      <c r="B168" s="163"/>
      <c r="C168" s="157"/>
      <c r="D168" s="158"/>
      <c r="E168" s="159"/>
      <c r="F168" s="160"/>
      <c r="G168" s="156"/>
    </row>
    <row r="169" spans="1:7">
      <c r="A169" s="155"/>
      <c r="B169" s="163"/>
      <c r="C169" s="157"/>
      <c r="D169" s="158"/>
      <c r="E169" s="159"/>
      <c r="F169" s="160"/>
      <c r="G169" s="156"/>
    </row>
    <row r="170" spans="1:7">
      <c r="A170" s="155"/>
      <c r="B170" s="163"/>
      <c r="C170" s="157"/>
      <c r="D170" s="158"/>
      <c r="E170" s="159"/>
      <c r="F170" s="160"/>
      <c r="G170" s="156"/>
    </row>
    <row r="171" spans="1:7">
      <c r="A171" s="155"/>
      <c r="B171" s="163"/>
      <c r="C171" s="157"/>
      <c r="D171" s="158"/>
      <c r="E171" s="159"/>
      <c r="F171" s="160"/>
      <c r="G171" s="156"/>
    </row>
    <row r="172" spans="1:7">
      <c r="A172" s="155"/>
      <c r="B172" s="163"/>
      <c r="C172" s="157"/>
      <c r="D172" s="158"/>
      <c r="E172" s="159"/>
      <c r="F172" s="160"/>
      <c r="G172" s="156"/>
    </row>
    <row r="173" spans="1:7">
      <c r="A173" s="155"/>
      <c r="B173" s="163"/>
      <c r="C173" s="157"/>
      <c r="D173" s="158"/>
      <c r="E173" s="159"/>
      <c r="F173" s="160"/>
      <c r="G173" s="156"/>
    </row>
    <row r="174" spans="1:7">
      <c r="A174" s="155"/>
      <c r="B174" s="163"/>
      <c r="C174" s="157"/>
      <c r="D174" s="158"/>
      <c r="E174" s="159"/>
      <c r="F174" s="160"/>
      <c r="G174" s="156"/>
    </row>
    <row r="175" spans="1:7">
      <c r="A175" s="155"/>
      <c r="B175" s="163"/>
      <c r="C175" s="157"/>
      <c r="D175" s="158"/>
      <c r="E175" s="159"/>
      <c r="F175" s="160"/>
      <c r="G175" s="156"/>
    </row>
    <row r="176" spans="1:7">
      <c r="A176" s="155"/>
      <c r="B176" s="163"/>
      <c r="C176" s="157"/>
      <c r="D176" s="158"/>
      <c r="E176" s="159"/>
      <c r="F176" s="160"/>
      <c r="G176" s="156"/>
    </row>
    <row r="177" spans="1:7">
      <c r="A177" s="155"/>
      <c r="B177" s="163"/>
      <c r="C177" s="157"/>
      <c r="D177" s="158"/>
      <c r="E177" s="159"/>
      <c r="F177" s="160"/>
      <c r="G177" s="156"/>
    </row>
    <row r="178" spans="1:7">
      <c r="A178" s="155"/>
      <c r="B178" s="163"/>
      <c r="C178" s="157"/>
      <c r="D178" s="158"/>
      <c r="E178" s="159"/>
      <c r="F178" s="160"/>
      <c r="G178" s="156"/>
    </row>
    <row r="179" spans="1:7">
      <c r="A179" s="155"/>
      <c r="B179" s="163"/>
      <c r="C179" s="157"/>
      <c r="D179" s="158"/>
      <c r="E179" s="159"/>
      <c r="F179" s="160"/>
      <c r="G179" s="156"/>
    </row>
    <row r="180" spans="1:7">
      <c r="A180" s="155"/>
      <c r="B180" s="163"/>
      <c r="C180" s="157"/>
      <c r="D180" s="158"/>
      <c r="E180" s="159"/>
      <c r="F180" s="160"/>
      <c r="G180" s="156"/>
    </row>
    <row r="181" spans="1:7">
      <c r="A181" s="155"/>
      <c r="B181" s="163"/>
      <c r="C181" s="157"/>
      <c r="D181" s="158"/>
      <c r="E181" s="159"/>
      <c r="F181" s="160"/>
      <c r="G181" s="156"/>
    </row>
    <row r="182" spans="1:7">
      <c r="A182" s="155"/>
      <c r="B182" s="163"/>
      <c r="C182" s="157"/>
      <c r="D182" s="158"/>
      <c r="E182" s="159"/>
      <c r="F182" s="160"/>
      <c r="G182" s="156"/>
    </row>
    <row r="183" spans="1:7">
      <c r="A183" s="155"/>
      <c r="B183" s="163"/>
      <c r="C183" s="157"/>
      <c r="D183" s="158"/>
      <c r="E183" s="159"/>
      <c r="F183" s="160"/>
      <c r="G183" s="156"/>
    </row>
    <row r="184" spans="1:7">
      <c r="A184" s="155"/>
      <c r="B184" s="163"/>
      <c r="C184" s="157"/>
      <c r="D184" s="158"/>
      <c r="E184" s="159"/>
      <c r="F184" s="160"/>
      <c r="G184" s="156"/>
    </row>
    <row r="185" spans="1:7">
      <c r="A185" s="155"/>
      <c r="B185" s="163"/>
      <c r="C185" s="157"/>
      <c r="D185" s="158"/>
      <c r="E185" s="159"/>
      <c r="F185" s="160"/>
      <c r="G185" s="156"/>
    </row>
    <row r="186" spans="1:7">
      <c r="A186" s="155"/>
      <c r="B186" s="163"/>
      <c r="C186" s="157"/>
      <c r="D186" s="158"/>
      <c r="E186" s="159"/>
      <c r="F186" s="160"/>
      <c r="G186" s="156"/>
    </row>
    <row r="187" spans="1:7">
      <c r="A187" s="155"/>
      <c r="B187" s="163"/>
      <c r="C187" s="157"/>
      <c r="D187" s="158"/>
      <c r="E187" s="159"/>
      <c r="F187" s="160"/>
      <c r="G187" s="156"/>
    </row>
    <row r="188" spans="1:7">
      <c r="A188" s="155"/>
      <c r="B188" s="163"/>
      <c r="C188" s="157"/>
      <c r="D188" s="158"/>
      <c r="E188" s="159"/>
      <c r="F188" s="160"/>
      <c r="G188" s="156"/>
    </row>
    <row r="189" spans="1:7">
      <c r="A189" s="155"/>
      <c r="B189" s="163"/>
      <c r="C189" s="157"/>
      <c r="D189" s="158"/>
      <c r="E189" s="159"/>
      <c r="F189" s="160"/>
      <c r="G189" s="156"/>
    </row>
    <row r="190" spans="1:7">
      <c r="A190" s="155"/>
      <c r="B190" s="163"/>
      <c r="C190" s="157"/>
      <c r="D190" s="158"/>
      <c r="E190" s="159"/>
      <c r="F190" s="160"/>
      <c r="G190" s="156"/>
    </row>
    <row r="191" spans="1:7">
      <c r="A191" s="155"/>
      <c r="B191" s="163"/>
      <c r="C191" s="157"/>
      <c r="D191" s="158"/>
      <c r="E191" s="159"/>
      <c r="F191" s="160"/>
      <c r="G191" s="156"/>
    </row>
    <row r="192" spans="1:7">
      <c r="A192" s="155"/>
      <c r="B192" s="163"/>
      <c r="C192" s="157"/>
      <c r="D192" s="158"/>
      <c r="E192" s="159"/>
      <c r="F192" s="160"/>
      <c r="G192" s="156"/>
    </row>
    <row r="193" spans="1:7">
      <c r="A193" s="155"/>
      <c r="B193" s="163"/>
      <c r="C193" s="157"/>
      <c r="D193" s="158"/>
      <c r="E193" s="159"/>
      <c r="F193" s="160"/>
      <c r="G193" s="156"/>
    </row>
    <row r="194" spans="1:7">
      <c r="A194" s="155"/>
      <c r="B194" s="163"/>
      <c r="C194" s="157"/>
      <c r="D194" s="158"/>
      <c r="E194" s="159"/>
      <c r="F194" s="160"/>
      <c r="G194" s="156"/>
    </row>
    <row r="195" spans="1:7">
      <c r="A195" s="155"/>
      <c r="B195" s="163"/>
      <c r="C195" s="157"/>
      <c r="D195" s="158"/>
      <c r="E195" s="159"/>
      <c r="F195" s="160"/>
      <c r="G195" s="156"/>
    </row>
    <row r="196" spans="1:7">
      <c r="A196" s="155"/>
      <c r="B196" s="163"/>
      <c r="C196" s="157"/>
      <c r="D196" s="158"/>
      <c r="E196" s="159"/>
      <c r="F196" s="160"/>
      <c r="G196" s="156"/>
    </row>
    <row r="197" spans="1:7">
      <c r="A197" s="155"/>
      <c r="B197" s="163"/>
      <c r="C197" s="157"/>
      <c r="D197" s="158"/>
      <c r="E197" s="159"/>
      <c r="F197" s="160"/>
      <c r="G197" s="156"/>
    </row>
    <row r="198" spans="1:7">
      <c r="A198" s="155"/>
      <c r="B198" s="163"/>
      <c r="C198" s="157"/>
      <c r="D198" s="158"/>
      <c r="E198" s="159"/>
      <c r="F198" s="160"/>
      <c r="G198" s="156"/>
    </row>
    <row r="199" spans="1:7">
      <c r="A199" s="155"/>
      <c r="B199" s="163"/>
      <c r="C199" s="157"/>
      <c r="D199" s="158"/>
      <c r="E199" s="159"/>
      <c r="F199" s="160"/>
      <c r="G199" s="156"/>
    </row>
    <row r="200" spans="1:7">
      <c r="A200" s="155"/>
      <c r="B200" s="163"/>
      <c r="C200" s="157"/>
      <c r="D200" s="158"/>
      <c r="E200" s="159"/>
      <c r="F200" s="160"/>
      <c r="G200" s="156"/>
    </row>
    <row r="201" spans="1:7">
      <c r="A201" s="155"/>
      <c r="B201" s="163"/>
      <c r="C201" s="157"/>
      <c r="D201" s="158"/>
      <c r="E201" s="159"/>
      <c r="F201" s="160"/>
      <c r="G201" s="156"/>
    </row>
    <row r="202" spans="1:7">
      <c r="A202" s="155"/>
      <c r="B202" s="163"/>
      <c r="C202" s="157"/>
      <c r="D202" s="158"/>
      <c r="E202" s="159"/>
      <c r="F202" s="160"/>
      <c r="G202" s="156"/>
    </row>
    <row r="203" spans="1:7">
      <c r="A203" s="155"/>
      <c r="B203" s="163"/>
      <c r="C203" s="157"/>
      <c r="D203" s="158"/>
      <c r="E203" s="159"/>
      <c r="F203" s="160"/>
      <c r="G203" s="156"/>
    </row>
    <row r="204" spans="1:7">
      <c r="A204" s="155"/>
      <c r="B204" s="163"/>
      <c r="C204" s="157"/>
      <c r="D204" s="158"/>
      <c r="E204" s="159"/>
      <c r="F204" s="160"/>
      <c r="G204" s="156"/>
    </row>
    <row r="205" spans="1:7">
      <c r="A205" s="155"/>
      <c r="B205" s="163"/>
      <c r="C205" s="157"/>
      <c r="D205" s="158"/>
      <c r="E205" s="159"/>
      <c r="F205" s="160"/>
      <c r="G205" s="156"/>
    </row>
    <row r="206" spans="1:7">
      <c r="A206" s="155"/>
      <c r="B206" s="163"/>
      <c r="C206" s="157"/>
      <c r="D206" s="158"/>
      <c r="E206" s="159"/>
      <c r="F206" s="160"/>
      <c r="G206" s="156"/>
    </row>
    <row r="207" spans="1:7">
      <c r="A207" s="155"/>
      <c r="B207" s="163"/>
      <c r="C207" s="157"/>
      <c r="D207" s="158"/>
      <c r="E207" s="159"/>
      <c r="F207" s="160"/>
      <c r="G207" s="156"/>
    </row>
    <row r="208" spans="1:7">
      <c r="A208" s="155"/>
      <c r="B208" s="163"/>
      <c r="C208" s="157"/>
      <c r="D208" s="158"/>
      <c r="E208" s="159"/>
      <c r="F208" s="160"/>
      <c r="G208" s="156"/>
    </row>
    <row r="209" spans="1:7">
      <c r="A209" s="155"/>
      <c r="B209" s="163"/>
      <c r="C209" s="157"/>
      <c r="D209" s="158"/>
      <c r="E209" s="159"/>
      <c r="F209" s="160"/>
      <c r="G209" s="156"/>
    </row>
    <row r="210" spans="1:7">
      <c r="A210" s="155"/>
      <c r="B210" s="163"/>
      <c r="C210" s="157"/>
      <c r="D210" s="158"/>
      <c r="E210" s="159"/>
      <c r="F210" s="160"/>
      <c r="G210" s="156"/>
    </row>
    <row r="211" spans="1:7">
      <c r="A211" s="155"/>
      <c r="B211" s="163"/>
      <c r="C211" s="157"/>
      <c r="D211" s="158"/>
      <c r="E211" s="159"/>
      <c r="F211" s="160"/>
      <c r="G211" s="156"/>
    </row>
    <row r="212" spans="1:7">
      <c r="A212" s="155"/>
      <c r="B212" s="163"/>
      <c r="C212" s="157"/>
      <c r="D212" s="158"/>
      <c r="E212" s="159"/>
      <c r="F212" s="160"/>
      <c r="G212" s="156"/>
    </row>
    <row r="213" spans="1:7">
      <c r="A213" s="155"/>
      <c r="B213" s="163"/>
      <c r="C213" s="157"/>
      <c r="D213" s="158"/>
      <c r="E213" s="159"/>
      <c r="F213" s="160"/>
      <c r="G213" s="156"/>
    </row>
    <row r="214" spans="1:7">
      <c r="A214" s="155"/>
      <c r="B214" s="163"/>
      <c r="C214" s="157"/>
      <c r="D214" s="158"/>
      <c r="E214" s="159"/>
      <c r="F214" s="160"/>
      <c r="G214" s="156"/>
    </row>
    <row r="215" spans="1:7">
      <c r="A215" s="155"/>
      <c r="B215" s="163"/>
      <c r="C215" s="157"/>
      <c r="D215" s="158"/>
      <c r="E215" s="159"/>
      <c r="F215" s="160"/>
      <c r="G215" s="156"/>
    </row>
    <row r="216" spans="1:7">
      <c r="A216" s="155"/>
      <c r="B216" s="163"/>
      <c r="C216" s="157"/>
      <c r="D216" s="158"/>
      <c r="E216" s="159"/>
      <c r="F216" s="160"/>
      <c r="G216" s="156"/>
    </row>
    <row r="217" spans="1:7">
      <c r="A217" s="155"/>
      <c r="B217" s="163"/>
      <c r="C217" s="157"/>
      <c r="D217" s="158"/>
      <c r="E217" s="159"/>
      <c r="F217" s="160"/>
      <c r="G217" s="156"/>
    </row>
    <row r="218" spans="1:7">
      <c r="A218" s="155"/>
      <c r="B218" s="163"/>
      <c r="C218" s="157"/>
      <c r="D218" s="158"/>
      <c r="E218" s="159"/>
      <c r="F218" s="160"/>
      <c r="G218" s="156"/>
    </row>
    <row r="219" spans="1:7">
      <c r="A219" s="155"/>
      <c r="B219" s="163"/>
      <c r="C219" s="157"/>
      <c r="D219" s="158"/>
      <c r="E219" s="159"/>
      <c r="F219" s="160"/>
      <c r="G219" s="156"/>
    </row>
    <row r="220" spans="1:7">
      <c r="A220" s="155"/>
      <c r="B220" s="163"/>
      <c r="C220" s="157"/>
      <c r="D220" s="158"/>
      <c r="E220" s="159"/>
      <c r="F220" s="160"/>
      <c r="G220" s="156"/>
    </row>
    <row r="221" spans="1:7">
      <c r="A221" s="155"/>
      <c r="B221" s="163"/>
      <c r="C221" s="157"/>
      <c r="D221" s="158"/>
      <c r="E221" s="159"/>
      <c r="F221" s="160"/>
      <c r="G221" s="156"/>
    </row>
    <row r="222" spans="1:7">
      <c r="A222" s="155"/>
      <c r="B222" s="163"/>
      <c r="C222" s="157"/>
      <c r="D222" s="158"/>
      <c r="E222" s="159"/>
      <c r="F222" s="160"/>
      <c r="G222" s="156"/>
    </row>
    <row r="223" spans="1:7">
      <c r="A223" s="155"/>
      <c r="B223" s="163"/>
      <c r="C223" s="157"/>
      <c r="D223" s="158"/>
      <c r="E223" s="159"/>
      <c r="F223" s="160"/>
      <c r="G223" s="156"/>
    </row>
    <row r="224" spans="1:7">
      <c r="A224" s="155"/>
      <c r="B224" s="163"/>
      <c r="C224" s="157"/>
      <c r="D224" s="158"/>
      <c r="E224" s="159"/>
      <c r="F224" s="160"/>
      <c r="G224" s="156"/>
    </row>
    <row r="225" spans="1:7">
      <c r="A225" s="155"/>
      <c r="B225" s="163"/>
      <c r="C225" s="157"/>
      <c r="D225" s="158"/>
      <c r="E225" s="159"/>
      <c r="F225" s="160"/>
      <c r="G225" s="156"/>
    </row>
    <row r="226" spans="1:7">
      <c r="A226" s="155"/>
      <c r="B226" s="163"/>
      <c r="C226" s="157"/>
      <c r="D226" s="158"/>
      <c r="E226" s="159"/>
      <c r="F226" s="160"/>
      <c r="G226" s="156"/>
    </row>
    <row r="227" spans="1:7">
      <c r="A227" s="155"/>
      <c r="B227" s="163"/>
      <c r="C227" s="157"/>
      <c r="D227" s="158"/>
      <c r="E227" s="159"/>
      <c r="F227" s="160"/>
      <c r="G227" s="156"/>
    </row>
    <row r="228" spans="1:7">
      <c r="A228" s="155"/>
      <c r="B228" s="163"/>
      <c r="C228" s="157"/>
      <c r="D228" s="158"/>
      <c r="E228" s="159"/>
      <c r="F228" s="160"/>
      <c r="G228" s="156"/>
    </row>
    <row r="229" spans="1:7">
      <c r="A229" s="155"/>
      <c r="B229" s="163"/>
      <c r="C229" s="157"/>
      <c r="D229" s="158"/>
      <c r="E229" s="159"/>
      <c r="F229" s="160"/>
      <c r="G229" s="156"/>
    </row>
    <row r="230" spans="1:7">
      <c r="A230" s="155"/>
      <c r="B230" s="163"/>
      <c r="C230" s="157"/>
      <c r="D230" s="158"/>
      <c r="E230" s="159"/>
      <c r="F230" s="160"/>
      <c r="G230" s="156"/>
    </row>
    <row r="231" spans="1:7">
      <c r="A231" s="155"/>
      <c r="B231" s="163"/>
      <c r="C231" s="157"/>
      <c r="D231" s="158"/>
      <c r="E231" s="159"/>
      <c r="F231" s="160"/>
      <c r="G231" s="156"/>
    </row>
    <row r="232" spans="1:7">
      <c r="A232" s="155"/>
      <c r="B232" s="163"/>
      <c r="C232" s="157"/>
      <c r="D232" s="158"/>
      <c r="E232" s="159"/>
      <c r="F232" s="160"/>
      <c r="G232" s="156"/>
    </row>
    <row r="233" spans="1:7">
      <c r="A233" s="155"/>
      <c r="B233" s="163"/>
      <c r="C233" s="157"/>
      <c r="D233" s="158"/>
      <c r="E233" s="159"/>
      <c r="F233" s="160"/>
      <c r="G233" s="156"/>
    </row>
    <row r="234" spans="1:7">
      <c r="A234" s="155"/>
      <c r="B234" s="163"/>
      <c r="C234" s="157"/>
      <c r="D234" s="158"/>
      <c r="E234" s="159"/>
      <c r="F234" s="160"/>
      <c r="G234" s="156"/>
    </row>
    <row r="235" spans="1:7">
      <c r="A235" s="155"/>
      <c r="B235" s="163"/>
      <c r="C235" s="157"/>
      <c r="D235" s="158"/>
      <c r="E235" s="159"/>
      <c r="F235" s="160"/>
      <c r="G235" s="156"/>
    </row>
    <row r="236" spans="1:7">
      <c r="A236" s="155"/>
      <c r="B236" s="163"/>
      <c r="C236" s="157"/>
      <c r="D236" s="158"/>
      <c r="E236" s="159"/>
      <c r="F236" s="160"/>
      <c r="G236" s="156"/>
    </row>
    <row r="237" spans="1:7">
      <c r="A237" s="155"/>
      <c r="B237" s="163"/>
      <c r="C237" s="157"/>
      <c r="D237" s="158"/>
      <c r="E237" s="159"/>
      <c r="F237" s="160"/>
      <c r="G237" s="156"/>
    </row>
    <row r="238" spans="1:7">
      <c r="A238" s="155"/>
      <c r="B238" s="163"/>
      <c r="C238" s="157"/>
      <c r="D238" s="158"/>
      <c r="E238" s="159"/>
      <c r="F238" s="160"/>
      <c r="G238" s="156"/>
    </row>
    <row r="239" spans="1:7">
      <c r="A239" s="155"/>
      <c r="B239" s="163"/>
      <c r="C239" s="157"/>
      <c r="D239" s="158"/>
      <c r="E239" s="159"/>
      <c r="F239" s="160"/>
      <c r="G239" s="156"/>
    </row>
    <row r="240" spans="1:7">
      <c r="A240" s="155"/>
      <c r="B240" s="163"/>
      <c r="C240" s="157"/>
      <c r="D240" s="158"/>
      <c r="E240" s="159"/>
      <c r="F240" s="160"/>
      <c r="G240" s="156"/>
    </row>
    <row r="241" spans="1:7">
      <c r="A241" s="155"/>
      <c r="B241" s="163"/>
      <c r="C241" s="157"/>
      <c r="D241" s="158"/>
      <c r="E241" s="159"/>
      <c r="F241" s="160"/>
      <c r="G241" s="156"/>
    </row>
    <row r="242" spans="1:7">
      <c r="A242" s="155"/>
      <c r="B242" s="163"/>
      <c r="C242" s="157"/>
      <c r="D242" s="158"/>
      <c r="E242" s="159"/>
      <c r="F242" s="160"/>
      <c r="G242" s="156"/>
    </row>
    <row r="243" spans="1:7">
      <c r="A243" s="155"/>
      <c r="B243" s="163"/>
      <c r="C243" s="157"/>
      <c r="D243" s="158"/>
      <c r="E243" s="159"/>
      <c r="F243" s="160"/>
      <c r="G243" s="156"/>
    </row>
    <row r="244" spans="1:7">
      <c r="A244" s="155"/>
      <c r="B244" s="163"/>
      <c r="C244" s="157"/>
      <c r="D244" s="158"/>
      <c r="E244" s="159"/>
      <c r="F244" s="160"/>
      <c r="G244" s="156"/>
    </row>
    <row r="245" spans="1:7">
      <c r="A245" s="155"/>
      <c r="B245" s="163"/>
      <c r="C245" s="157"/>
      <c r="D245" s="158"/>
      <c r="E245" s="159"/>
      <c r="F245" s="160"/>
      <c r="G245" s="156"/>
    </row>
    <row r="246" spans="1:7">
      <c r="A246" s="155"/>
      <c r="B246" s="163"/>
      <c r="C246" s="157"/>
      <c r="D246" s="158"/>
      <c r="E246" s="159"/>
      <c r="F246" s="160"/>
      <c r="G246" s="156"/>
    </row>
    <row r="247" spans="1:7">
      <c r="A247" s="155"/>
      <c r="B247" s="163"/>
      <c r="C247" s="157"/>
      <c r="D247" s="158"/>
      <c r="E247" s="159"/>
      <c r="F247" s="160"/>
      <c r="G247" s="156"/>
    </row>
    <row r="248" spans="1:7">
      <c r="A248" s="155"/>
      <c r="B248" s="163"/>
      <c r="C248" s="157"/>
      <c r="D248" s="158"/>
      <c r="E248" s="159"/>
      <c r="F248" s="160"/>
      <c r="G248" s="156"/>
    </row>
    <row r="249" spans="1:7">
      <c r="A249" s="155"/>
      <c r="B249" s="163"/>
      <c r="C249" s="157"/>
      <c r="D249" s="158"/>
      <c r="E249" s="159"/>
      <c r="F249" s="160"/>
      <c r="G249" s="156"/>
    </row>
    <row r="250" spans="1:7">
      <c r="A250" s="155"/>
      <c r="B250" s="163"/>
      <c r="C250" s="157"/>
      <c r="D250" s="158"/>
      <c r="E250" s="159"/>
      <c r="F250" s="160"/>
      <c r="G250" s="156"/>
    </row>
    <row r="251" spans="1:7">
      <c r="A251" s="155"/>
      <c r="B251" s="163"/>
      <c r="C251" s="157"/>
      <c r="D251" s="158"/>
      <c r="E251" s="159"/>
      <c r="F251" s="160"/>
      <c r="G251" s="156"/>
    </row>
    <row r="252" spans="1:7">
      <c r="A252" s="155"/>
      <c r="B252" s="163"/>
      <c r="C252" s="157"/>
      <c r="D252" s="158"/>
      <c r="E252" s="159"/>
      <c r="F252" s="160"/>
      <c r="G252" s="156"/>
    </row>
    <row r="253" spans="1:7">
      <c r="A253" s="155"/>
      <c r="B253" s="163"/>
      <c r="C253" s="157"/>
      <c r="D253" s="158"/>
      <c r="E253" s="159"/>
      <c r="F253" s="160"/>
      <c r="G253" s="156"/>
    </row>
    <row r="254" spans="1:7">
      <c r="A254" s="155"/>
      <c r="B254" s="163"/>
      <c r="C254" s="157"/>
      <c r="D254" s="158"/>
      <c r="E254" s="159"/>
      <c r="F254" s="160"/>
      <c r="G254" s="156"/>
    </row>
    <row r="255" spans="1:7">
      <c r="A255" s="155"/>
      <c r="B255" s="163"/>
      <c r="C255" s="157"/>
      <c r="D255" s="158"/>
      <c r="E255" s="159"/>
      <c r="F255" s="160"/>
      <c r="G255" s="156"/>
    </row>
    <row r="256" spans="1:7">
      <c r="A256" s="155"/>
      <c r="B256" s="163"/>
      <c r="C256" s="157"/>
      <c r="D256" s="158"/>
      <c r="E256" s="159"/>
      <c r="F256" s="160"/>
      <c r="G256" s="156"/>
    </row>
    <row r="257" spans="1:7">
      <c r="A257" s="155"/>
      <c r="B257" s="163"/>
      <c r="C257" s="157"/>
      <c r="D257" s="158"/>
      <c r="E257" s="159"/>
      <c r="F257" s="160"/>
      <c r="G257" s="156"/>
    </row>
    <row r="258" spans="1:7">
      <c r="A258" s="155"/>
      <c r="B258" s="163"/>
      <c r="C258" s="157"/>
      <c r="D258" s="158"/>
      <c r="E258" s="159"/>
      <c r="F258" s="160"/>
      <c r="G258" s="156"/>
    </row>
    <row r="259" spans="1:7">
      <c r="A259" s="155"/>
      <c r="B259" s="163"/>
      <c r="C259" s="157"/>
      <c r="D259" s="158"/>
      <c r="E259" s="159"/>
      <c r="F259" s="160"/>
      <c r="G259" s="156"/>
    </row>
    <row r="260" spans="1:7">
      <c r="A260" s="155"/>
      <c r="B260" s="163"/>
      <c r="C260" s="157"/>
      <c r="D260" s="158"/>
      <c r="E260" s="159"/>
      <c r="F260" s="160"/>
      <c r="G260" s="156"/>
    </row>
    <row r="261" spans="1:7">
      <c r="A261" s="155"/>
      <c r="B261" s="163"/>
      <c r="C261" s="157"/>
      <c r="D261" s="158"/>
      <c r="E261" s="159"/>
      <c r="F261" s="160"/>
      <c r="G261" s="156"/>
    </row>
    <row r="262" spans="1:7">
      <c r="A262" s="155"/>
      <c r="B262" s="163"/>
      <c r="C262" s="157"/>
      <c r="D262" s="158"/>
      <c r="E262" s="159"/>
      <c r="F262" s="160"/>
      <c r="G262" s="156"/>
    </row>
    <row r="263" spans="1:7">
      <c r="A263" s="155"/>
      <c r="B263" s="163"/>
      <c r="C263" s="157"/>
      <c r="D263" s="158"/>
      <c r="E263" s="159"/>
      <c r="F263" s="160"/>
      <c r="G263" s="156"/>
    </row>
    <row r="264" spans="1:7">
      <c r="A264" s="155"/>
      <c r="B264" s="163"/>
      <c r="C264" s="157"/>
      <c r="D264" s="158"/>
      <c r="E264" s="159"/>
      <c r="F264" s="160"/>
      <c r="G264" s="156"/>
    </row>
    <row r="265" spans="1:7">
      <c r="A265" s="155"/>
      <c r="B265" s="163"/>
      <c r="C265" s="157"/>
      <c r="D265" s="158"/>
      <c r="E265" s="159"/>
      <c r="F265" s="160"/>
      <c r="G265" s="156"/>
    </row>
    <row r="266" spans="1:7">
      <c r="A266" s="155"/>
      <c r="B266" s="163"/>
      <c r="C266" s="157"/>
      <c r="D266" s="158"/>
      <c r="E266" s="159"/>
      <c r="F266" s="160"/>
      <c r="G266" s="156"/>
    </row>
    <row r="267" spans="1:7">
      <c r="A267" s="155"/>
      <c r="B267" s="163"/>
      <c r="C267" s="157"/>
      <c r="D267" s="158"/>
      <c r="E267" s="159"/>
      <c r="F267" s="160"/>
      <c r="G267" s="156"/>
    </row>
    <row r="268" spans="1:7">
      <c r="A268" s="155"/>
      <c r="B268" s="163"/>
      <c r="C268" s="157"/>
      <c r="D268" s="158"/>
      <c r="E268" s="159"/>
      <c r="F268" s="160"/>
      <c r="G268" s="156"/>
    </row>
    <row r="269" spans="1:7">
      <c r="A269" s="155"/>
      <c r="B269" s="163"/>
      <c r="C269" s="157"/>
      <c r="D269" s="158"/>
      <c r="E269" s="159"/>
      <c r="F269" s="160"/>
      <c r="G269" s="156"/>
    </row>
    <row r="270" spans="1:7">
      <c r="A270" s="155"/>
      <c r="B270" s="163"/>
      <c r="C270" s="157"/>
      <c r="D270" s="158"/>
      <c r="E270" s="159"/>
      <c r="F270" s="160"/>
      <c r="G270" s="156"/>
    </row>
    <row r="271" spans="1:7">
      <c r="A271" s="155"/>
      <c r="B271" s="163"/>
      <c r="C271" s="157"/>
      <c r="D271" s="158"/>
      <c r="E271" s="159"/>
      <c r="F271" s="160"/>
      <c r="G271" s="156"/>
    </row>
    <row r="272" spans="1:7">
      <c r="A272" s="155"/>
      <c r="B272" s="163"/>
      <c r="C272" s="157"/>
      <c r="D272" s="158"/>
      <c r="E272" s="159"/>
      <c r="F272" s="160"/>
      <c r="G272" s="156"/>
    </row>
    <row r="273" spans="1:7">
      <c r="A273" s="155"/>
      <c r="B273" s="163"/>
      <c r="C273" s="157"/>
      <c r="D273" s="158"/>
      <c r="E273" s="159"/>
      <c r="F273" s="160"/>
      <c r="G273" s="156"/>
    </row>
    <row r="274" spans="1:7">
      <c r="A274" s="155"/>
      <c r="B274" s="163"/>
      <c r="C274" s="157"/>
      <c r="D274" s="158"/>
      <c r="E274" s="159"/>
      <c r="F274" s="160"/>
      <c r="G274" s="156"/>
    </row>
    <row r="275" spans="1:7">
      <c r="A275" s="155"/>
      <c r="B275" s="163"/>
      <c r="C275" s="157"/>
      <c r="D275" s="158"/>
      <c r="E275" s="159"/>
      <c r="F275" s="160"/>
      <c r="G275" s="156"/>
    </row>
    <row r="276" spans="1:7">
      <c r="A276" s="155"/>
      <c r="B276" s="163"/>
      <c r="C276" s="157"/>
      <c r="D276" s="158"/>
      <c r="E276" s="159"/>
      <c r="F276" s="160"/>
      <c r="G276" s="156"/>
    </row>
    <row r="277" spans="1:7">
      <c r="A277" s="155"/>
      <c r="B277" s="163"/>
      <c r="C277" s="157"/>
      <c r="D277" s="158"/>
      <c r="E277" s="159"/>
      <c r="F277" s="160"/>
      <c r="G277" s="156"/>
    </row>
    <row r="278" spans="1:7">
      <c r="A278" s="155"/>
      <c r="B278" s="163"/>
      <c r="C278" s="157"/>
      <c r="D278" s="158"/>
      <c r="E278" s="159"/>
      <c r="F278" s="160"/>
      <c r="G278" s="156"/>
    </row>
    <row r="279" spans="1:7">
      <c r="A279" s="155"/>
      <c r="B279" s="163"/>
      <c r="C279" s="157"/>
      <c r="D279" s="158"/>
      <c r="E279" s="159"/>
      <c r="F279" s="160"/>
      <c r="G279" s="156"/>
    </row>
    <row r="280" spans="1:7">
      <c r="A280" s="155"/>
      <c r="B280" s="163"/>
      <c r="C280" s="157"/>
      <c r="D280" s="158"/>
      <c r="E280" s="159"/>
      <c r="F280" s="160"/>
      <c r="G280" s="156"/>
    </row>
    <row r="281" spans="1:7">
      <c r="A281" s="155"/>
      <c r="B281" s="163"/>
      <c r="C281" s="157"/>
      <c r="D281" s="158"/>
      <c r="E281" s="159"/>
      <c r="F281" s="160"/>
      <c r="G281" s="156"/>
    </row>
    <row r="282" spans="1:7">
      <c r="A282" s="155"/>
      <c r="B282" s="163"/>
      <c r="C282" s="157"/>
      <c r="D282" s="158"/>
      <c r="E282" s="159"/>
      <c r="F282" s="160"/>
      <c r="G282" s="156"/>
    </row>
    <row r="283" spans="1:7">
      <c r="A283" s="155"/>
      <c r="B283" s="163"/>
      <c r="C283" s="157"/>
      <c r="D283" s="158"/>
      <c r="E283" s="159"/>
      <c r="F283" s="160"/>
      <c r="G283" s="156"/>
    </row>
    <row r="284" spans="1:7">
      <c r="A284" s="155"/>
      <c r="B284" s="163"/>
      <c r="C284" s="157"/>
      <c r="D284" s="158"/>
      <c r="E284" s="159"/>
      <c r="F284" s="160"/>
      <c r="G284" s="156"/>
    </row>
    <row r="285" spans="1:7">
      <c r="A285" s="155"/>
      <c r="B285" s="163"/>
      <c r="C285" s="157"/>
      <c r="D285" s="158"/>
      <c r="E285" s="159"/>
      <c r="F285" s="160"/>
      <c r="G285" s="156"/>
    </row>
    <row r="286" spans="1:7">
      <c r="A286" s="155"/>
      <c r="B286" s="163"/>
      <c r="C286" s="157"/>
      <c r="D286" s="158"/>
      <c r="E286" s="159"/>
      <c r="F286" s="160"/>
      <c r="G286" s="156"/>
    </row>
    <row r="287" spans="1:7">
      <c r="A287" s="155"/>
      <c r="B287" s="163"/>
      <c r="C287" s="157"/>
      <c r="D287" s="158"/>
      <c r="E287" s="159"/>
      <c r="F287" s="160"/>
      <c r="G287" s="156"/>
    </row>
    <row r="288" spans="1:7">
      <c r="A288" s="155"/>
      <c r="B288" s="163"/>
      <c r="C288" s="157"/>
      <c r="D288" s="158"/>
      <c r="E288" s="159"/>
      <c r="F288" s="160"/>
      <c r="G288" s="156"/>
    </row>
    <row r="289" spans="1:7">
      <c r="A289" s="155"/>
      <c r="B289" s="163"/>
      <c r="C289" s="157"/>
      <c r="D289" s="158"/>
      <c r="E289" s="159"/>
      <c r="F289" s="160"/>
      <c r="G289" s="156"/>
    </row>
    <row r="290" spans="1:7">
      <c r="A290" s="155"/>
      <c r="B290" s="163"/>
      <c r="C290" s="157"/>
      <c r="D290" s="158"/>
      <c r="E290" s="159"/>
      <c r="F290" s="160"/>
      <c r="G290" s="156"/>
    </row>
    <row r="291" spans="1:7">
      <c r="A291" s="155"/>
      <c r="B291" s="163"/>
      <c r="C291" s="157"/>
      <c r="D291" s="158"/>
      <c r="E291" s="159"/>
      <c r="F291" s="160"/>
      <c r="G291" s="156"/>
    </row>
    <row r="292" spans="1:7">
      <c r="A292" s="155"/>
      <c r="B292" s="163"/>
      <c r="C292" s="157"/>
      <c r="D292" s="158"/>
      <c r="E292" s="159"/>
      <c r="F292" s="160"/>
      <c r="G292" s="156"/>
    </row>
    <row r="293" spans="1:7">
      <c r="A293" s="155"/>
      <c r="B293" s="163"/>
      <c r="C293" s="157"/>
      <c r="D293" s="158"/>
      <c r="E293" s="159"/>
      <c r="F293" s="160"/>
      <c r="G293" s="156"/>
    </row>
    <row r="294" spans="1:7">
      <c r="A294" s="155"/>
      <c r="B294" s="163"/>
      <c r="C294" s="157"/>
      <c r="D294" s="158"/>
      <c r="E294" s="159"/>
      <c r="F294" s="160"/>
      <c r="G294" s="156"/>
    </row>
    <row r="295" spans="1:7">
      <c r="A295" s="155"/>
      <c r="B295" s="163"/>
      <c r="C295" s="157"/>
      <c r="D295" s="158"/>
      <c r="E295" s="159"/>
      <c r="F295" s="160"/>
      <c r="G295" s="156"/>
    </row>
    <row r="296" spans="1:7">
      <c r="A296" s="155"/>
      <c r="B296" s="163"/>
      <c r="C296" s="157"/>
      <c r="D296" s="158"/>
      <c r="E296" s="159"/>
      <c r="F296" s="160"/>
      <c r="G296" s="156"/>
    </row>
    <row r="297" spans="1:7">
      <c r="A297" s="155"/>
      <c r="B297" s="163"/>
      <c r="C297" s="157"/>
      <c r="D297" s="158"/>
      <c r="E297" s="159"/>
      <c r="F297" s="160"/>
      <c r="G297" s="156"/>
    </row>
    <row r="298" spans="1:7">
      <c r="A298" s="155"/>
      <c r="B298" s="163"/>
      <c r="C298" s="157"/>
      <c r="D298" s="158"/>
      <c r="E298" s="159"/>
      <c r="F298" s="160"/>
      <c r="G298" s="156"/>
    </row>
    <row r="299" spans="1:7">
      <c r="A299" s="155"/>
      <c r="B299" s="163"/>
      <c r="C299" s="157"/>
      <c r="D299" s="158"/>
      <c r="E299" s="159"/>
      <c r="F299" s="160"/>
      <c r="G299" s="156"/>
    </row>
    <row r="300" spans="1:7">
      <c r="A300" s="155"/>
      <c r="B300" s="163"/>
      <c r="C300" s="157"/>
      <c r="D300" s="158"/>
      <c r="E300" s="159"/>
      <c r="F300" s="160"/>
      <c r="G300" s="156"/>
    </row>
    <row r="301" spans="1:7">
      <c r="A301" s="155"/>
      <c r="B301" s="163"/>
      <c r="C301" s="157"/>
      <c r="D301" s="158"/>
      <c r="E301" s="159"/>
      <c r="F301" s="160"/>
      <c r="G301" s="156"/>
    </row>
    <row r="302" spans="1:7">
      <c r="A302" s="155"/>
      <c r="B302" s="163"/>
      <c r="C302" s="157"/>
      <c r="D302" s="158"/>
      <c r="E302" s="159"/>
      <c r="F302" s="160"/>
      <c r="G302" s="156"/>
    </row>
    <row r="303" spans="1:7">
      <c r="A303" s="155"/>
      <c r="B303" s="163"/>
      <c r="C303" s="157"/>
      <c r="D303" s="158"/>
      <c r="E303" s="159"/>
      <c r="F303" s="160"/>
      <c r="G303" s="156"/>
    </row>
    <row r="304" spans="1:7">
      <c r="A304" s="155"/>
      <c r="B304" s="163"/>
      <c r="C304" s="157"/>
      <c r="D304" s="158"/>
      <c r="E304" s="159"/>
      <c r="F304" s="160"/>
      <c r="G304" s="156"/>
    </row>
    <row r="305" spans="1:7">
      <c r="A305" s="155"/>
      <c r="B305" s="163"/>
      <c r="C305" s="157"/>
      <c r="D305" s="158"/>
      <c r="E305" s="159"/>
      <c r="F305" s="160"/>
      <c r="G305" s="156"/>
    </row>
    <row r="306" spans="1:7">
      <c r="A306" s="155"/>
      <c r="B306" s="163"/>
      <c r="C306" s="157"/>
      <c r="D306" s="158"/>
      <c r="E306" s="159"/>
      <c r="F306" s="160"/>
      <c r="G306" s="156"/>
    </row>
    <row r="307" spans="1:7">
      <c r="A307" s="155"/>
      <c r="B307" s="163"/>
      <c r="C307" s="157"/>
      <c r="D307" s="158"/>
      <c r="E307" s="159"/>
      <c r="F307" s="160"/>
      <c r="G307" s="156"/>
    </row>
    <row r="308" spans="1:7">
      <c r="A308" s="155"/>
      <c r="B308" s="163"/>
      <c r="C308" s="157"/>
      <c r="D308" s="158"/>
      <c r="E308" s="159"/>
      <c r="F308" s="160"/>
      <c r="G308" s="156"/>
    </row>
    <row r="309" spans="1:7">
      <c r="A309" s="155"/>
      <c r="B309" s="163"/>
      <c r="C309" s="157"/>
      <c r="D309" s="158"/>
      <c r="E309" s="159"/>
      <c r="F309" s="160"/>
      <c r="G309" s="156"/>
    </row>
    <row r="310" spans="1:7">
      <c r="A310" s="155"/>
      <c r="B310" s="163"/>
      <c r="C310" s="157"/>
      <c r="D310" s="158"/>
      <c r="E310" s="159"/>
      <c r="F310" s="160"/>
      <c r="G310" s="156"/>
    </row>
    <row r="311" spans="1:7">
      <c r="A311" s="155"/>
      <c r="B311" s="163"/>
      <c r="C311" s="157"/>
      <c r="D311" s="158"/>
      <c r="E311" s="159"/>
      <c r="F311" s="160"/>
      <c r="G311" s="156"/>
    </row>
    <row r="312" spans="1:7">
      <c r="A312" s="155"/>
      <c r="B312" s="163"/>
      <c r="C312" s="157"/>
      <c r="D312" s="158"/>
      <c r="E312" s="159"/>
      <c r="F312" s="160"/>
      <c r="G312" s="156"/>
    </row>
    <row r="313" spans="1:7">
      <c r="A313" s="155"/>
      <c r="B313" s="163"/>
      <c r="C313" s="157"/>
      <c r="D313" s="158"/>
      <c r="E313" s="159"/>
      <c r="F313" s="160"/>
      <c r="G313" s="156"/>
    </row>
    <row r="314" spans="1:7">
      <c r="A314" s="155"/>
      <c r="B314" s="163"/>
      <c r="C314" s="157"/>
      <c r="D314" s="158"/>
      <c r="E314" s="159"/>
      <c r="F314" s="160"/>
      <c r="G314" s="156"/>
    </row>
    <row r="315" spans="1:7">
      <c r="A315" s="155"/>
      <c r="B315" s="163"/>
      <c r="C315" s="157"/>
      <c r="D315" s="158"/>
      <c r="E315" s="159"/>
      <c r="F315" s="160"/>
      <c r="G315" s="156"/>
    </row>
    <row r="316" spans="1:7">
      <c r="A316" s="155"/>
      <c r="B316" s="163"/>
      <c r="C316" s="157"/>
      <c r="D316" s="158"/>
      <c r="E316" s="159"/>
      <c r="F316" s="160"/>
      <c r="G316" s="156"/>
    </row>
    <row r="317" spans="1:7">
      <c r="A317" s="155"/>
      <c r="B317" s="163"/>
      <c r="C317" s="157"/>
      <c r="D317" s="158"/>
      <c r="E317" s="159"/>
      <c r="F317" s="160"/>
      <c r="G317" s="156"/>
    </row>
    <row r="318" spans="1:7">
      <c r="A318" s="155"/>
      <c r="B318" s="163"/>
      <c r="C318" s="157"/>
      <c r="D318" s="158"/>
      <c r="E318" s="159"/>
      <c r="F318" s="160"/>
      <c r="G318" s="156"/>
    </row>
    <row r="319" spans="1:7">
      <c r="A319" s="155"/>
      <c r="B319" s="163"/>
      <c r="C319" s="157"/>
      <c r="D319" s="158"/>
      <c r="E319" s="159"/>
      <c r="F319" s="160"/>
      <c r="G319" s="156"/>
    </row>
    <row r="320" spans="1:7">
      <c r="A320" s="155"/>
      <c r="B320" s="163"/>
      <c r="C320" s="157"/>
      <c r="D320" s="158"/>
      <c r="E320" s="159"/>
      <c r="F320" s="160"/>
      <c r="G320" s="156"/>
    </row>
    <row r="321" spans="1:7">
      <c r="A321" s="155"/>
      <c r="B321" s="163"/>
      <c r="C321" s="157"/>
      <c r="D321" s="158"/>
      <c r="E321" s="159"/>
      <c r="F321" s="160"/>
      <c r="G321" s="156"/>
    </row>
    <row r="322" spans="1:7">
      <c r="A322" s="155"/>
      <c r="B322" s="163"/>
      <c r="C322" s="157"/>
      <c r="D322" s="158"/>
      <c r="E322" s="159"/>
      <c r="F322" s="160"/>
      <c r="G322" s="156"/>
    </row>
    <row r="323" spans="1:7">
      <c r="A323" s="155"/>
      <c r="B323" s="163"/>
      <c r="C323" s="157"/>
      <c r="D323" s="158"/>
      <c r="E323" s="159"/>
      <c r="F323" s="160"/>
      <c r="G323" s="156"/>
    </row>
    <row r="324" spans="1:7">
      <c r="A324" s="155"/>
      <c r="B324" s="163"/>
      <c r="C324" s="157"/>
      <c r="D324" s="158"/>
      <c r="E324" s="159"/>
      <c r="F324" s="160"/>
      <c r="G324" s="156"/>
    </row>
    <row r="325" spans="1:7">
      <c r="A325" s="155"/>
      <c r="B325" s="163"/>
      <c r="C325" s="157"/>
      <c r="D325" s="158"/>
      <c r="E325" s="159"/>
      <c r="F325" s="160"/>
      <c r="G325" s="156"/>
    </row>
    <row r="326" spans="1:7">
      <c r="A326" s="155"/>
      <c r="B326" s="163"/>
      <c r="C326" s="157"/>
      <c r="D326" s="158"/>
      <c r="E326" s="159"/>
      <c r="F326" s="160"/>
      <c r="G326" s="156"/>
    </row>
    <row r="327" spans="1:7">
      <c r="A327" s="155"/>
      <c r="B327" s="163"/>
      <c r="C327" s="157"/>
      <c r="D327" s="158"/>
      <c r="E327" s="159"/>
      <c r="F327" s="160"/>
      <c r="G327" s="156"/>
    </row>
    <row r="328" spans="1:7">
      <c r="A328" s="155"/>
      <c r="B328" s="163"/>
      <c r="C328" s="157"/>
      <c r="D328" s="158"/>
      <c r="E328" s="159"/>
      <c r="F328" s="160"/>
      <c r="G328" s="156"/>
    </row>
    <row r="329" spans="1:7">
      <c r="A329" s="155"/>
      <c r="B329" s="163"/>
      <c r="C329" s="157"/>
      <c r="D329" s="158"/>
      <c r="E329" s="159"/>
      <c r="F329" s="160"/>
      <c r="G329" s="156"/>
    </row>
    <row r="330" spans="1:7">
      <c r="A330" s="155"/>
      <c r="B330" s="163"/>
      <c r="C330" s="157"/>
      <c r="D330" s="158"/>
      <c r="E330" s="159"/>
      <c r="F330" s="160"/>
      <c r="G330" s="156"/>
    </row>
    <row r="331" spans="1:7">
      <c r="A331" s="155"/>
      <c r="B331" s="163"/>
      <c r="C331" s="157"/>
      <c r="D331" s="158"/>
      <c r="E331" s="159"/>
      <c r="F331" s="160"/>
      <c r="G331" s="156"/>
    </row>
    <row r="332" spans="1:7">
      <c r="A332" s="155"/>
      <c r="B332" s="163"/>
      <c r="C332" s="157"/>
      <c r="D332" s="158"/>
      <c r="E332" s="159"/>
      <c r="F332" s="160"/>
      <c r="G332" s="156"/>
    </row>
    <row r="333" spans="1:7">
      <c r="A333" s="155"/>
      <c r="B333" s="163"/>
      <c r="C333" s="157"/>
      <c r="D333" s="158"/>
      <c r="E333" s="159"/>
      <c r="F333" s="160"/>
      <c r="G333" s="156"/>
    </row>
    <row r="334" spans="1:7">
      <c r="A334" s="155"/>
      <c r="B334" s="163"/>
      <c r="C334" s="157"/>
      <c r="D334" s="158"/>
      <c r="E334" s="159"/>
      <c r="F334" s="160"/>
      <c r="G334" s="156"/>
    </row>
    <row r="335" spans="1:7">
      <c r="A335" s="155"/>
      <c r="B335" s="163"/>
      <c r="C335" s="157"/>
      <c r="D335" s="158"/>
      <c r="E335" s="159"/>
      <c r="F335" s="160"/>
      <c r="G335" s="156"/>
    </row>
    <row r="336" spans="1:7">
      <c r="A336" s="155"/>
      <c r="B336" s="163"/>
      <c r="C336" s="157"/>
      <c r="D336" s="158"/>
      <c r="E336" s="159"/>
      <c r="F336" s="160"/>
      <c r="G336" s="156"/>
    </row>
    <row r="337" spans="1:7">
      <c r="A337" s="155"/>
      <c r="B337" s="163"/>
      <c r="C337" s="157"/>
      <c r="D337" s="158"/>
      <c r="E337" s="159"/>
      <c r="F337" s="160"/>
      <c r="G337" s="156"/>
    </row>
    <row r="338" spans="1:7">
      <c r="A338" s="155"/>
      <c r="B338" s="163"/>
      <c r="C338" s="157"/>
      <c r="D338" s="158"/>
      <c r="E338" s="159"/>
      <c r="F338" s="160"/>
      <c r="G338" s="156"/>
    </row>
    <row r="339" spans="1:7">
      <c r="A339" s="155"/>
      <c r="B339" s="163"/>
      <c r="C339" s="157"/>
      <c r="D339" s="158"/>
      <c r="E339" s="159"/>
      <c r="F339" s="160"/>
      <c r="G339" s="156"/>
    </row>
    <row r="340" spans="1:7">
      <c r="A340" s="155"/>
      <c r="B340" s="163"/>
      <c r="C340" s="157"/>
      <c r="D340" s="158"/>
      <c r="E340" s="159"/>
      <c r="F340" s="160"/>
      <c r="G340" s="156"/>
    </row>
    <row r="341" spans="1:7">
      <c r="A341" s="155"/>
      <c r="B341" s="163"/>
      <c r="C341" s="157"/>
      <c r="D341" s="158"/>
      <c r="E341" s="159"/>
      <c r="F341" s="160"/>
      <c r="G341" s="156"/>
    </row>
    <row r="342" spans="1:7">
      <c r="A342" s="155"/>
      <c r="B342" s="163"/>
      <c r="C342" s="157"/>
      <c r="D342" s="158"/>
      <c r="E342" s="159"/>
      <c r="F342" s="160"/>
      <c r="G342" s="156"/>
    </row>
    <row r="343" spans="1:7">
      <c r="A343" s="155"/>
      <c r="B343" s="163"/>
      <c r="C343" s="157"/>
      <c r="D343" s="158"/>
      <c r="E343" s="159"/>
      <c r="F343" s="160"/>
      <c r="G343" s="156"/>
    </row>
    <row r="344" spans="1:7">
      <c r="A344" s="155"/>
      <c r="B344" s="163"/>
      <c r="C344" s="157"/>
      <c r="D344" s="158"/>
      <c r="E344" s="159"/>
      <c r="F344" s="160"/>
      <c r="G344" s="156"/>
    </row>
    <row r="345" spans="1:7">
      <c r="A345" s="155"/>
      <c r="B345" s="163"/>
      <c r="C345" s="157"/>
      <c r="D345" s="158"/>
      <c r="E345" s="159"/>
      <c r="F345" s="160"/>
      <c r="G345" s="156"/>
    </row>
    <row r="346" spans="1:7">
      <c r="A346" s="155"/>
      <c r="B346" s="163"/>
      <c r="C346" s="157"/>
      <c r="D346" s="158"/>
      <c r="E346" s="159"/>
      <c r="F346" s="160"/>
      <c r="G346" s="156"/>
    </row>
    <row r="347" spans="1:7">
      <c r="A347" s="155"/>
      <c r="B347" s="163"/>
      <c r="C347" s="157"/>
      <c r="D347" s="158"/>
      <c r="E347" s="159"/>
      <c r="F347" s="160"/>
      <c r="G347" s="156"/>
    </row>
    <row r="348" spans="1:7">
      <c r="A348" s="155"/>
      <c r="B348" s="163"/>
      <c r="C348" s="157"/>
      <c r="D348" s="158"/>
      <c r="E348" s="159"/>
      <c r="F348" s="160"/>
      <c r="G348" s="156"/>
    </row>
    <row r="349" spans="1:7">
      <c r="A349" s="155"/>
      <c r="B349" s="163"/>
      <c r="C349" s="157"/>
      <c r="D349" s="158"/>
      <c r="E349" s="159"/>
      <c r="F349" s="160"/>
      <c r="G349" s="156"/>
    </row>
    <row r="350" spans="1:7">
      <c r="A350" s="155"/>
      <c r="B350" s="163"/>
      <c r="C350" s="157"/>
      <c r="D350" s="158"/>
      <c r="E350" s="159"/>
      <c r="F350" s="160"/>
      <c r="G350" s="156"/>
    </row>
    <row r="351" spans="1:7">
      <c r="A351" s="155"/>
      <c r="B351" s="163"/>
      <c r="C351" s="157"/>
      <c r="D351" s="158"/>
      <c r="E351" s="159"/>
      <c r="F351" s="160"/>
      <c r="G351" s="156"/>
    </row>
    <row r="352" spans="1:7">
      <c r="A352" s="155"/>
      <c r="B352" s="163"/>
      <c r="C352" s="157"/>
      <c r="D352" s="158"/>
      <c r="E352" s="159"/>
      <c r="F352" s="160"/>
      <c r="G352" s="156"/>
    </row>
    <row r="353" spans="1:7">
      <c r="A353" s="155"/>
      <c r="B353" s="163"/>
      <c r="C353" s="157"/>
      <c r="D353" s="158"/>
      <c r="E353" s="159"/>
      <c r="F353" s="160"/>
      <c r="G353" s="156"/>
    </row>
    <row r="354" spans="1:7">
      <c r="A354" s="155"/>
      <c r="B354" s="163"/>
      <c r="C354" s="157"/>
      <c r="D354" s="158"/>
      <c r="E354" s="159"/>
      <c r="F354" s="160"/>
      <c r="G354" s="156"/>
    </row>
    <row r="355" spans="1:7">
      <c r="A355" s="155"/>
      <c r="B355" s="163"/>
      <c r="C355" s="157"/>
      <c r="D355" s="158"/>
      <c r="E355" s="159"/>
      <c r="F355" s="160"/>
      <c r="G355" s="156"/>
    </row>
    <row r="356" spans="1:7">
      <c r="A356" s="155"/>
      <c r="B356" s="163"/>
      <c r="C356" s="157"/>
      <c r="D356" s="158"/>
      <c r="E356" s="159"/>
      <c r="F356" s="160"/>
      <c r="G356" s="156"/>
    </row>
    <row r="357" spans="1:7">
      <c r="A357" s="155"/>
      <c r="B357" s="163"/>
      <c r="C357" s="157"/>
      <c r="D357" s="158"/>
      <c r="E357" s="159"/>
      <c r="F357" s="160"/>
      <c r="G357" s="156"/>
    </row>
    <row r="358" spans="1:7">
      <c r="A358" s="155"/>
      <c r="B358" s="163"/>
      <c r="C358" s="157"/>
      <c r="D358" s="158"/>
      <c r="E358" s="159"/>
      <c r="F358" s="160"/>
      <c r="G358" s="156"/>
    </row>
    <row r="359" spans="1:7">
      <c r="A359" s="155"/>
      <c r="B359" s="163"/>
      <c r="C359" s="157"/>
      <c r="D359" s="158"/>
      <c r="E359" s="159"/>
      <c r="F359" s="160"/>
      <c r="G359" s="156"/>
    </row>
    <row r="360" spans="1:7">
      <c r="A360" s="155"/>
      <c r="B360" s="163"/>
      <c r="C360" s="157"/>
      <c r="D360" s="158"/>
      <c r="E360" s="159"/>
      <c r="F360" s="160"/>
      <c r="G360" s="156"/>
    </row>
    <row r="361" spans="1:7">
      <c r="A361" s="155"/>
      <c r="B361" s="163"/>
      <c r="C361" s="157"/>
      <c r="D361" s="158"/>
      <c r="E361" s="159"/>
      <c r="F361" s="160"/>
      <c r="G361" s="156"/>
    </row>
    <row r="362" spans="1:7">
      <c r="A362" s="155"/>
      <c r="B362" s="163"/>
      <c r="C362" s="157"/>
      <c r="D362" s="158"/>
      <c r="E362" s="159"/>
      <c r="F362" s="160"/>
      <c r="G362" s="156"/>
    </row>
    <row r="363" spans="1:7">
      <c r="A363" s="155"/>
      <c r="B363" s="163"/>
      <c r="C363" s="157"/>
      <c r="D363" s="158"/>
      <c r="E363" s="159"/>
      <c r="F363" s="160"/>
      <c r="G363" s="156"/>
    </row>
    <row r="364" spans="1:7">
      <c r="A364" s="155"/>
      <c r="B364" s="163"/>
      <c r="C364" s="157"/>
      <c r="D364" s="158"/>
      <c r="E364" s="159"/>
      <c r="F364" s="160"/>
      <c r="G364" s="156"/>
    </row>
    <row r="365" spans="1:7">
      <c r="A365" s="155"/>
      <c r="B365" s="163"/>
      <c r="C365" s="157"/>
      <c r="D365" s="158"/>
      <c r="E365" s="159"/>
      <c r="F365" s="160"/>
      <c r="G365" s="156"/>
    </row>
    <row r="366" spans="1:7">
      <c r="A366" s="155"/>
      <c r="B366" s="163"/>
      <c r="C366" s="157"/>
      <c r="D366" s="158"/>
      <c r="E366" s="159"/>
      <c r="F366" s="160"/>
      <c r="G366" s="156"/>
    </row>
    <row r="367" spans="1:7">
      <c r="A367" s="155"/>
      <c r="B367" s="163"/>
      <c r="C367" s="157"/>
      <c r="D367" s="158"/>
      <c r="E367" s="159"/>
      <c r="F367" s="160"/>
      <c r="G367" s="156"/>
    </row>
    <row r="368" spans="1:7">
      <c r="A368" s="155"/>
      <c r="B368" s="163"/>
      <c r="C368" s="157"/>
      <c r="D368" s="158"/>
      <c r="E368" s="159"/>
      <c r="F368" s="160"/>
      <c r="G368" s="156"/>
    </row>
    <row r="369" spans="1:7">
      <c r="A369" s="155"/>
      <c r="B369" s="163"/>
      <c r="C369" s="157"/>
      <c r="D369" s="158"/>
      <c r="E369" s="159"/>
      <c r="F369" s="160"/>
      <c r="G369" s="156"/>
    </row>
    <row r="370" spans="1:7">
      <c r="A370" s="155"/>
      <c r="B370" s="163"/>
      <c r="C370" s="157"/>
      <c r="D370" s="158"/>
      <c r="E370" s="159"/>
      <c r="F370" s="160"/>
      <c r="G370" s="156"/>
    </row>
    <row r="371" spans="1:7">
      <c r="A371" s="155"/>
      <c r="B371" s="163"/>
      <c r="C371" s="157"/>
      <c r="D371" s="158"/>
      <c r="E371" s="159"/>
      <c r="F371" s="160"/>
      <c r="G371" s="156"/>
    </row>
    <row r="372" spans="1:7">
      <c r="A372" s="155"/>
      <c r="B372" s="163"/>
      <c r="C372" s="157"/>
      <c r="D372" s="158"/>
      <c r="E372" s="159"/>
      <c r="F372" s="160"/>
      <c r="G372" s="156"/>
    </row>
    <row r="373" spans="1:7">
      <c r="A373" s="155"/>
      <c r="B373" s="163"/>
      <c r="C373" s="157"/>
      <c r="D373" s="158"/>
      <c r="E373" s="159"/>
      <c r="F373" s="160"/>
      <c r="G373" s="156"/>
    </row>
    <row r="374" spans="1:7">
      <c r="A374" s="155"/>
      <c r="B374" s="163"/>
      <c r="C374" s="157"/>
      <c r="D374" s="158"/>
      <c r="E374" s="159"/>
      <c r="F374" s="160"/>
      <c r="G374" s="156"/>
    </row>
    <row r="375" spans="1:7">
      <c r="A375" s="155"/>
      <c r="B375" s="163"/>
      <c r="C375" s="157"/>
      <c r="D375" s="158"/>
      <c r="E375" s="159"/>
      <c r="F375" s="160"/>
      <c r="G375" s="156"/>
    </row>
    <row r="376" spans="1:7">
      <c r="A376" s="155"/>
      <c r="B376" s="163"/>
      <c r="C376" s="157"/>
      <c r="D376" s="158"/>
      <c r="E376" s="159"/>
      <c r="F376" s="160"/>
      <c r="G376" s="156"/>
    </row>
    <row r="377" spans="1:7">
      <c r="A377" s="155"/>
      <c r="B377" s="163"/>
      <c r="C377" s="157"/>
      <c r="D377" s="158"/>
      <c r="E377" s="159"/>
      <c r="F377" s="160"/>
      <c r="G377" s="156"/>
    </row>
    <row r="378" spans="1:7">
      <c r="A378" s="155"/>
      <c r="B378" s="163"/>
      <c r="C378" s="157"/>
      <c r="D378" s="158"/>
      <c r="E378" s="159"/>
      <c r="F378" s="160"/>
      <c r="G378" s="156"/>
    </row>
    <row r="379" spans="1:7">
      <c r="A379" s="155"/>
      <c r="B379" s="163"/>
      <c r="C379" s="157"/>
      <c r="D379" s="158"/>
      <c r="E379" s="159"/>
      <c r="F379" s="160"/>
      <c r="G379" s="156"/>
    </row>
    <row r="380" spans="1:7">
      <c r="A380" s="155"/>
      <c r="B380" s="163"/>
      <c r="C380" s="157"/>
      <c r="D380" s="158"/>
      <c r="E380" s="159"/>
      <c r="F380" s="160"/>
      <c r="G380" s="156"/>
    </row>
    <row r="381" spans="1:7">
      <c r="A381" s="155"/>
      <c r="B381" s="163"/>
      <c r="C381" s="157"/>
      <c r="D381" s="158"/>
      <c r="E381" s="159"/>
      <c r="F381" s="160"/>
      <c r="G381" s="156"/>
    </row>
    <row r="382" spans="1:7">
      <c r="A382" s="155"/>
      <c r="B382" s="163"/>
      <c r="C382" s="157"/>
      <c r="D382" s="158"/>
      <c r="E382" s="159"/>
      <c r="F382" s="160"/>
      <c r="G382" s="156"/>
    </row>
    <row r="383" spans="1:7">
      <c r="A383" s="155"/>
      <c r="B383" s="163"/>
      <c r="C383" s="157"/>
      <c r="D383" s="158"/>
      <c r="E383" s="159"/>
      <c r="F383" s="160"/>
      <c r="G383" s="156"/>
    </row>
    <row r="384" spans="1:7">
      <c r="A384" s="155"/>
      <c r="B384" s="163"/>
      <c r="C384" s="157"/>
      <c r="D384" s="158"/>
      <c r="E384" s="159"/>
      <c r="F384" s="160"/>
      <c r="G384" s="156"/>
    </row>
    <row r="385" spans="1:7">
      <c r="A385" s="155"/>
      <c r="B385" s="163"/>
      <c r="C385" s="157"/>
      <c r="D385" s="158"/>
      <c r="E385" s="159"/>
      <c r="F385" s="160"/>
      <c r="G385" s="156"/>
    </row>
    <row r="386" spans="1:7">
      <c r="A386" s="155"/>
      <c r="B386" s="163"/>
      <c r="C386" s="157"/>
      <c r="D386" s="158"/>
      <c r="E386" s="159"/>
      <c r="F386" s="160"/>
      <c r="G386" s="156"/>
    </row>
    <row r="387" spans="1:7">
      <c r="A387" s="155"/>
      <c r="B387" s="163"/>
      <c r="C387" s="157"/>
      <c r="D387" s="158"/>
      <c r="E387" s="159"/>
      <c r="F387" s="160"/>
      <c r="G387" s="156"/>
    </row>
    <row r="388" spans="1:7">
      <c r="A388" s="155"/>
      <c r="B388" s="163"/>
      <c r="C388" s="157"/>
      <c r="D388" s="158"/>
      <c r="E388" s="159"/>
      <c r="F388" s="160"/>
      <c r="G388" s="156"/>
    </row>
    <row r="389" spans="1:7">
      <c r="A389" s="155"/>
      <c r="B389" s="163"/>
      <c r="C389" s="157"/>
      <c r="D389" s="158"/>
      <c r="E389" s="159"/>
      <c r="F389" s="160"/>
      <c r="G389" s="156"/>
    </row>
    <row r="390" spans="1:7">
      <c r="A390" s="155"/>
      <c r="B390" s="163"/>
      <c r="C390" s="157"/>
      <c r="D390" s="158"/>
      <c r="E390" s="159"/>
      <c r="F390" s="160"/>
      <c r="G390" s="156"/>
    </row>
    <row r="391" spans="1:7">
      <c r="A391" s="155"/>
      <c r="B391" s="163"/>
      <c r="C391" s="157"/>
      <c r="D391" s="158"/>
      <c r="E391" s="159"/>
      <c r="F391" s="160"/>
      <c r="G391" s="156"/>
    </row>
    <row r="392" spans="1:7">
      <c r="A392" s="155"/>
      <c r="B392" s="163"/>
      <c r="C392" s="157"/>
      <c r="D392" s="158"/>
      <c r="E392" s="159"/>
      <c r="F392" s="160"/>
      <c r="G392" s="156"/>
    </row>
    <row r="393" spans="1:7">
      <c r="A393" s="155"/>
      <c r="B393" s="163"/>
      <c r="C393" s="157"/>
      <c r="D393" s="158"/>
      <c r="E393" s="159"/>
      <c r="F393" s="160"/>
      <c r="G393" s="156"/>
    </row>
    <row r="394" spans="1:7">
      <c r="A394" s="155"/>
      <c r="B394" s="163"/>
      <c r="C394" s="157"/>
      <c r="D394" s="158"/>
      <c r="E394" s="159"/>
      <c r="F394" s="160"/>
      <c r="G394" s="156"/>
    </row>
    <row r="395" spans="1:7">
      <c r="A395" s="155"/>
      <c r="B395" s="163"/>
      <c r="C395" s="157"/>
      <c r="D395" s="158"/>
      <c r="E395" s="159"/>
      <c r="F395" s="160"/>
      <c r="G395" s="156"/>
    </row>
    <row r="396" spans="1:7">
      <c r="A396" s="155"/>
      <c r="B396" s="163"/>
      <c r="C396" s="157"/>
      <c r="D396" s="158"/>
      <c r="E396" s="159"/>
      <c r="F396" s="160"/>
      <c r="G396" s="156"/>
    </row>
    <row r="397" spans="1:7">
      <c r="A397" s="155"/>
      <c r="B397" s="163"/>
      <c r="C397" s="157"/>
      <c r="D397" s="158"/>
      <c r="E397" s="159"/>
      <c r="F397" s="160"/>
      <c r="G397" s="156"/>
    </row>
    <row r="398" spans="1:7">
      <c r="A398" s="155"/>
      <c r="B398" s="163"/>
      <c r="C398" s="157"/>
      <c r="D398" s="158"/>
      <c r="E398" s="159"/>
      <c r="F398" s="160"/>
      <c r="G398" s="156"/>
    </row>
    <row r="399" spans="1:7">
      <c r="A399" s="155"/>
      <c r="B399" s="163"/>
      <c r="C399" s="157"/>
      <c r="D399" s="158"/>
      <c r="E399" s="159"/>
      <c r="F399" s="160"/>
      <c r="G399" s="156"/>
    </row>
    <row r="400" spans="1:7">
      <c r="A400" s="155"/>
      <c r="B400" s="163"/>
      <c r="C400" s="157"/>
      <c r="D400" s="158"/>
      <c r="E400" s="159"/>
      <c r="F400" s="160"/>
      <c r="G400" s="156"/>
    </row>
    <row r="401" spans="1:7">
      <c r="A401" s="155"/>
      <c r="B401" s="163"/>
      <c r="C401" s="157"/>
      <c r="D401" s="158"/>
      <c r="E401" s="159"/>
      <c r="F401" s="160"/>
      <c r="G401" s="156"/>
    </row>
    <row r="402" spans="1:7">
      <c r="A402" s="155"/>
      <c r="B402" s="163"/>
      <c r="C402" s="157"/>
      <c r="D402" s="158"/>
      <c r="E402" s="159"/>
      <c r="F402" s="160"/>
      <c r="G402" s="156"/>
    </row>
    <row r="403" spans="1:7">
      <c r="A403" s="155"/>
      <c r="B403" s="163"/>
      <c r="C403" s="157"/>
      <c r="D403" s="158"/>
      <c r="E403" s="159"/>
      <c r="F403" s="160"/>
      <c r="G403" s="156"/>
    </row>
    <row r="404" spans="1:7">
      <c r="A404" s="155"/>
      <c r="B404" s="163"/>
      <c r="C404" s="157"/>
      <c r="D404" s="158"/>
      <c r="E404" s="159"/>
      <c r="F404" s="160"/>
      <c r="G404" s="156"/>
    </row>
    <row r="405" spans="1:7">
      <c r="A405" s="155"/>
      <c r="B405" s="163"/>
      <c r="C405" s="157"/>
      <c r="D405" s="158"/>
      <c r="E405" s="159"/>
      <c r="F405" s="160"/>
      <c r="G405" s="156"/>
    </row>
    <row r="406" spans="1:7">
      <c r="A406" s="155"/>
      <c r="B406" s="163"/>
      <c r="C406" s="157"/>
      <c r="D406" s="158"/>
      <c r="E406" s="159"/>
      <c r="F406" s="160"/>
      <c r="G406" s="156"/>
    </row>
    <row r="407" spans="1:7">
      <c r="A407" s="155"/>
      <c r="B407" s="163"/>
      <c r="C407" s="157"/>
      <c r="D407" s="158"/>
      <c r="E407" s="159"/>
      <c r="F407" s="160"/>
      <c r="G407" s="156"/>
    </row>
    <row r="408" spans="1:7">
      <c r="A408" s="155"/>
      <c r="B408" s="163"/>
      <c r="C408" s="157"/>
      <c r="D408" s="158"/>
      <c r="E408" s="159"/>
      <c r="F408" s="160"/>
      <c r="G408" s="156"/>
    </row>
    <row r="409" spans="1:7">
      <c r="A409" s="155"/>
      <c r="B409" s="163"/>
      <c r="C409" s="157"/>
      <c r="D409" s="158"/>
      <c r="E409" s="159"/>
      <c r="F409" s="160"/>
      <c r="G409" s="156"/>
    </row>
    <row r="410" spans="1:7">
      <c r="A410" s="155"/>
      <c r="B410" s="163"/>
      <c r="C410" s="157"/>
      <c r="D410" s="158"/>
      <c r="E410" s="159"/>
      <c r="F410" s="160"/>
      <c r="G410" s="156"/>
    </row>
    <row r="411" spans="1:7">
      <c r="A411" s="155"/>
      <c r="B411" s="163"/>
      <c r="C411" s="157"/>
      <c r="D411" s="158"/>
      <c r="E411" s="159"/>
      <c r="F411" s="160"/>
      <c r="G411" s="156"/>
    </row>
    <row r="412" spans="1:7">
      <c r="A412" s="155"/>
      <c r="B412" s="163"/>
      <c r="C412" s="157"/>
      <c r="D412" s="158"/>
      <c r="E412" s="159"/>
      <c r="F412" s="160"/>
      <c r="G412" s="156"/>
    </row>
    <row r="413" spans="1:7">
      <c r="A413" s="155"/>
      <c r="B413" s="163"/>
      <c r="C413" s="157"/>
      <c r="D413" s="158"/>
      <c r="E413" s="159"/>
      <c r="F413" s="160"/>
      <c r="G413" s="156"/>
    </row>
    <row r="414" spans="1:7">
      <c r="A414" s="155"/>
      <c r="B414" s="163"/>
      <c r="C414" s="157"/>
      <c r="D414" s="158"/>
      <c r="E414" s="159"/>
      <c r="F414" s="160"/>
      <c r="G414" s="156"/>
    </row>
    <row r="415" spans="1:7">
      <c r="A415" s="155"/>
      <c r="B415" s="163"/>
      <c r="C415" s="157"/>
      <c r="D415" s="158"/>
      <c r="E415" s="159"/>
      <c r="F415" s="160"/>
      <c r="G415" s="156"/>
    </row>
    <row r="416" spans="1:7">
      <c r="A416" s="155"/>
      <c r="B416" s="163"/>
      <c r="C416" s="157"/>
      <c r="D416" s="158"/>
      <c r="E416" s="159"/>
      <c r="F416" s="160"/>
      <c r="G416" s="156"/>
    </row>
    <row r="417" spans="1:7">
      <c r="A417" s="155"/>
      <c r="B417" s="163"/>
      <c r="C417" s="157"/>
      <c r="D417" s="158"/>
      <c r="E417" s="159"/>
      <c r="F417" s="160"/>
      <c r="G417" s="156"/>
    </row>
    <row r="418" spans="1:7">
      <c r="A418" s="155"/>
      <c r="B418" s="163"/>
      <c r="C418" s="157"/>
      <c r="D418" s="158"/>
      <c r="E418" s="159"/>
      <c r="F418" s="160"/>
      <c r="G418" s="156"/>
    </row>
    <row r="419" spans="1:7">
      <c r="A419" s="155"/>
      <c r="B419" s="163"/>
      <c r="C419" s="157"/>
      <c r="D419" s="158"/>
      <c r="E419" s="159"/>
      <c r="F419" s="160"/>
      <c r="G419" s="156"/>
    </row>
    <row r="420" spans="1:7">
      <c r="A420" s="155"/>
      <c r="B420" s="163"/>
      <c r="C420" s="157"/>
      <c r="D420" s="158"/>
      <c r="E420" s="159"/>
      <c r="F420" s="160"/>
      <c r="G420" s="156"/>
    </row>
    <row r="421" spans="1:7">
      <c r="A421" s="155"/>
      <c r="B421" s="163"/>
      <c r="C421" s="157"/>
      <c r="D421" s="158"/>
      <c r="E421" s="159"/>
      <c r="F421" s="160"/>
      <c r="G421" s="156"/>
    </row>
    <row r="422" spans="1:7">
      <c r="A422" s="155"/>
      <c r="B422" s="163"/>
      <c r="C422" s="157"/>
      <c r="D422" s="158"/>
      <c r="E422" s="159"/>
      <c r="F422" s="160"/>
      <c r="G422" s="156"/>
    </row>
    <row r="423" spans="1:7">
      <c r="A423" s="155"/>
      <c r="B423" s="163"/>
      <c r="C423" s="157"/>
      <c r="D423" s="158"/>
      <c r="E423" s="159"/>
      <c r="F423" s="160"/>
      <c r="G423" s="156"/>
    </row>
    <row r="424" spans="1:7">
      <c r="A424" s="155"/>
      <c r="B424" s="163"/>
      <c r="C424" s="157"/>
      <c r="D424" s="158"/>
      <c r="E424" s="159"/>
      <c r="F424" s="160"/>
      <c r="G424" s="156"/>
    </row>
    <row r="425" spans="1:7">
      <c r="A425" s="155"/>
      <c r="B425" s="163"/>
      <c r="C425" s="157"/>
      <c r="D425" s="158"/>
      <c r="E425" s="159"/>
      <c r="F425" s="160"/>
      <c r="G425" s="156"/>
    </row>
    <row r="426" spans="1:7">
      <c r="A426" s="155"/>
      <c r="B426" s="163"/>
      <c r="C426" s="157"/>
      <c r="D426" s="158"/>
      <c r="E426" s="159"/>
      <c r="F426" s="160"/>
      <c r="G426" s="156"/>
    </row>
    <row r="427" spans="1:7">
      <c r="A427" s="155"/>
      <c r="B427" s="163"/>
      <c r="C427" s="157"/>
      <c r="D427" s="158"/>
      <c r="E427" s="159"/>
      <c r="F427" s="160"/>
      <c r="G427" s="156"/>
    </row>
    <row r="428" spans="1:7">
      <c r="A428" s="155"/>
      <c r="B428" s="163"/>
      <c r="C428" s="157"/>
      <c r="D428" s="158"/>
      <c r="E428" s="159"/>
      <c r="F428" s="160"/>
      <c r="G428" s="156"/>
    </row>
    <row r="429" spans="1:7">
      <c r="A429" s="155"/>
      <c r="B429" s="163"/>
      <c r="C429" s="157"/>
      <c r="D429" s="158"/>
      <c r="E429" s="159"/>
      <c r="F429" s="160"/>
      <c r="G429" s="156"/>
    </row>
    <row r="430" spans="1:7">
      <c r="A430" s="155"/>
      <c r="B430" s="163"/>
      <c r="C430" s="157"/>
      <c r="D430" s="158"/>
      <c r="E430" s="159"/>
      <c r="F430" s="160"/>
      <c r="G430" s="156"/>
    </row>
    <row r="431" spans="1:7">
      <c r="A431" s="155"/>
      <c r="B431" s="163"/>
      <c r="C431" s="157"/>
      <c r="D431" s="158"/>
      <c r="E431" s="159"/>
      <c r="F431" s="160"/>
      <c r="G431" s="156"/>
    </row>
    <row r="432" spans="1:7">
      <c r="A432" s="155"/>
      <c r="B432" s="163"/>
      <c r="C432" s="157"/>
      <c r="D432" s="158"/>
      <c r="E432" s="159"/>
      <c r="F432" s="160"/>
      <c r="G432" s="156"/>
    </row>
    <row r="433" spans="1:7">
      <c r="A433" s="155"/>
      <c r="B433" s="163"/>
      <c r="C433" s="157"/>
      <c r="D433" s="158"/>
      <c r="E433" s="159"/>
      <c r="F433" s="160"/>
      <c r="G433" s="156"/>
    </row>
    <row r="434" spans="1:7">
      <c r="A434" s="155"/>
      <c r="B434" s="163"/>
      <c r="C434" s="157"/>
      <c r="D434" s="158"/>
      <c r="E434" s="159"/>
      <c r="F434" s="160"/>
      <c r="G434" s="156"/>
    </row>
    <row r="435" spans="1:7">
      <c r="A435" s="155"/>
      <c r="B435" s="163"/>
      <c r="C435" s="157"/>
      <c r="D435" s="158"/>
      <c r="E435" s="159"/>
      <c r="F435" s="160"/>
      <c r="G435" s="156"/>
    </row>
    <row r="436" spans="1:7">
      <c r="A436" s="155"/>
      <c r="B436" s="163"/>
      <c r="C436" s="157"/>
      <c r="D436" s="158"/>
      <c r="E436" s="159"/>
      <c r="F436" s="160"/>
      <c r="G436" s="156"/>
    </row>
    <row r="437" spans="1:7">
      <c r="A437" s="155"/>
      <c r="B437" s="163"/>
      <c r="C437" s="157"/>
      <c r="D437" s="158"/>
      <c r="E437" s="159"/>
      <c r="F437" s="160"/>
      <c r="G437" s="156"/>
    </row>
    <row r="438" spans="1:7">
      <c r="A438" s="155"/>
      <c r="B438" s="163"/>
      <c r="C438" s="157"/>
      <c r="D438" s="158"/>
      <c r="E438" s="159"/>
      <c r="F438" s="160"/>
      <c r="G438" s="156"/>
    </row>
    <row r="439" spans="1:7">
      <c r="A439" s="155"/>
      <c r="B439" s="163"/>
      <c r="C439" s="157"/>
      <c r="D439" s="158"/>
      <c r="E439" s="159"/>
      <c r="F439" s="160"/>
      <c r="G439" s="156"/>
    </row>
    <row r="440" spans="1:7">
      <c r="A440" s="155"/>
      <c r="B440" s="163"/>
      <c r="C440" s="157"/>
      <c r="D440" s="158"/>
      <c r="E440" s="159"/>
      <c r="F440" s="160"/>
      <c r="G440" s="156"/>
    </row>
    <row r="441" spans="1:7">
      <c r="A441" s="155"/>
      <c r="B441" s="163"/>
      <c r="C441" s="157"/>
      <c r="D441" s="158"/>
      <c r="E441" s="159"/>
      <c r="F441" s="160"/>
      <c r="G441" s="156"/>
    </row>
    <row r="442" spans="1:7">
      <c r="A442" s="155"/>
      <c r="B442" s="163"/>
      <c r="C442" s="157"/>
      <c r="D442" s="158"/>
      <c r="E442" s="159"/>
      <c r="F442" s="160"/>
      <c r="G442" s="156"/>
    </row>
    <row r="443" spans="1:7">
      <c r="A443" s="155"/>
      <c r="B443" s="163"/>
      <c r="C443" s="157"/>
      <c r="D443" s="158"/>
      <c r="E443" s="159"/>
      <c r="F443" s="160"/>
      <c r="G443" s="156"/>
    </row>
    <row r="444" spans="1:7">
      <c r="A444" s="155"/>
      <c r="B444" s="163"/>
      <c r="C444" s="157"/>
      <c r="D444" s="158"/>
      <c r="E444" s="159"/>
      <c r="F444" s="160"/>
      <c r="G444" s="156"/>
    </row>
    <row r="445" spans="1:7">
      <c r="A445" s="155"/>
      <c r="B445" s="163"/>
      <c r="C445" s="157"/>
      <c r="D445" s="158"/>
      <c r="E445" s="159"/>
      <c r="F445" s="160"/>
      <c r="G445" s="156"/>
    </row>
    <row r="446" spans="1:7">
      <c r="A446" s="155"/>
      <c r="B446" s="163"/>
      <c r="C446" s="157"/>
      <c r="D446" s="158"/>
      <c r="E446" s="159"/>
      <c r="F446" s="160"/>
      <c r="G446" s="156"/>
    </row>
    <row r="447" spans="1:7">
      <c r="A447" s="155"/>
      <c r="B447" s="163"/>
      <c r="C447" s="157"/>
      <c r="D447" s="158"/>
      <c r="E447" s="159"/>
      <c r="F447" s="160"/>
      <c r="G447" s="156"/>
    </row>
    <row r="448" spans="1:7">
      <c r="A448" s="155"/>
      <c r="B448" s="163"/>
      <c r="C448" s="157"/>
      <c r="D448" s="158"/>
      <c r="E448" s="159"/>
      <c r="F448" s="160"/>
      <c r="G448" s="156"/>
    </row>
    <row r="449" spans="1:7">
      <c r="A449" s="155"/>
      <c r="B449" s="163"/>
      <c r="C449" s="157"/>
      <c r="D449" s="158"/>
      <c r="E449" s="159"/>
      <c r="F449" s="160"/>
      <c r="G449" s="156"/>
    </row>
    <row r="450" spans="1:7">
      <c r="A450" s="155"/>
      <c r="B450" s="163"/>
      <c r="C450" s="157"/>
      <c r="D450" s="158"/>
      <c r="E450" s="159"/>
      <c r="F450" s="160"/>
      <c r="G450" s="156"/>
    </row>
    <row r="451" spans="1:7">
      <c r="A451" s="155"/>
      <c r="B451" s="163"/>
      <c r="C451" s="157"/>
      <c r="D451" s="158"/>
      <c r="E451" s="159"/>
      <c r="F451" s="160"/>
      <c r="G451" s="156"/>
    </row>
    <row r="452" spans="1:7">
      <c r="A452" s="155"/>
      <c r="B452" s="163"/>
      <c r="C452" s="157"/>
      <c r="D452" s="158"/>
      <c r="E452" s="159"/>
      <c r="F452" s="160"/>
      <c r="G452" s="156"/>
    </row>
    <row r="453" spans="1:7">
      <c r="A453" s="155"/>
      <c r="B453" s="163"/>
      <c r="C453" s="157"/>
      <c r="D453" s="158"/>
      <c r="E453" s="159"/>
      <c r="F453" s="160"/>
      <c r="G453" s="156"/>
    </row>
    <row r="454" spans="1:7">
      <c r="A454" s="155"/>
      <c r="B454" s="163"/>
      <c r="C454" s="157"/>
      <c r="D454" s="158"/>
      <c r="E454" s="159"/>
      <c r="F454" s="160"/>
      <c r="G454" s="156"/>
    </row>
    <row r="455" spans="1:7">
      <c r="A455" s="155"/>
      <c r="B455" s="163"/>
      <c r="C455" s="157"/>
      <c r="D455" s="158"/>
      <c r="E455" s="159"/>
      <c r="F455" s="160"/>
      <c r="G455" s="156"/>
    </row>
    <row r="456" spans="1:7">
      <c r="A456" s="155"/>
      <c r="B456" s="163"/>
      <c r="C456" s="157"/>
      <c r="D456" s="158"/>
      <c r="E456" s="159"/>
      <c r="F456" s="160"/>
      <c r="G456" s="156"/>
    </row>
    <row r="457" spans="1:7">
      <c r="A457" s="155"/>
      <c r="B457" s="163"/>
      <c r="C457" s="157"/>
      <c r="D457" s="158"/>
      <c r="E457" s="159"/>
      <c r="F457" s="160"/>
      <c r="G457" s="156"/>
    </row>
    <row r="458" spans="1:7">
      <c r="A458" s="155"/>
      <c r="B458" s="163"/>
      <c r="C458" s="157"/>
      <c r="D458" s="158"/>
      <c r="E458" s="159"/>
      <c r="F458" s="160"/>
      <c r="G458" s="156"/>
    </row>
    <row r="459" spans="1:7">
      <c r="A459" s="155"/>
      <c r="B459" s="163"/>
      <c r="C459" s="157"/>
      <c r="D459" s="158"/>
      <c r="E459" s="159"/>
      <c r="F459" s="160"/>
      <c r="G459" s="156"/>
    </row>
    <row r="460" spans="1:7">
      <c r="A460" s="155"/>
      <c r="B460" s="163"/>
      <c r="C460" s="157"/>
      <c r="D460" s="158"/>
      <c r="E460" s="159"/>
      <c r="F460" s="160"/>
      <c r="G460" s="156"/>
    </row>
    <row r="461" spans="1:7">
      <c r="A461" s="155"/>
      <c r="B461" s="163"/>
      <c r="C461" s="157"/>
      <c r="D461" s="158"/>
      <c r="E461" s="159"/>
      <c r="F461" s="160"/>
      <c r="G461" s="156"/>
    </row>
    <row r="462" spans="1:7">
      <c r="A462" s="155"/>
      <c r="B462" s="163"/>
      <c r="C462" s="157"/>
      <c r="D462" s="158"/>
      <c r="E462" s="159"/>
      <c r="F462" s="160"/>
      <c r="G462" s="156"/>
    </row>
    <row r="463" spans="1:7">
      <c r="A463" s="155"/>
      <c r="B463" s="163"/>
      <c r="C463" s="157"/>
      <c r="D463" s="158"/>
      <c r="E463" s="159"/>
      <c r="F463" s="160"/>
      <c r="G463" s="156"/>
    </row>
    <row r="464" spans="1:7">
      <c r="A464" s="155"/>
      <c r="B464" s="163"/>
      <c r="C464" s="157"/>
      <c r="D464" s="158"/>
      <c r="E464" s="159"/>
      <c r="F464" s="160"/>
      <c r="G464" s="156"/>
    </row>
    <row r="465" spans="1:7">
      <c r="A465" s="155"/>
      <c r="B465" s="163"/>
      <c r="C465" s="157"/>
      <c r="D465" s="158"/>
      <c r="E465" s="159"/>
      <c r="F465" s="160"/>
      <c r="G465" s="156"/>
    </row>
    <row r="466" spans="1:7">
      <c r="A466" s="155"/>
      <c r="B466" s="163"/>
      <c r="C466" s="157"/>
      <c r="D466" s="158"/>
      <c r="E466" s="159"/>
      <c r="F466" s="160"/>
      <c r="G466" s="156"/>
    </row>
    <row r="467" spans="1:7">
      <c r="A467" s="155"/>
      <c r="B467" s="163"/>
      <c r="C467" s="157"/>
      <c r="D467" s="158"/>
      <c r="E467" s="159"/>
      <c r="F467" s="160"/>
      <c r="G467" s="156"/>
    </row>
    <row r="468" spans="1:7">
      <c r="A468" s="155"/>
      <c r="B468" s="163"/>
      <c r="C468" s="157"/>
      <c r="D468" s="158"/>
      <c r="E468" s="159"/>
      <c r="F468" s="160"/>
      <c r="G468" s="156"/>
    </row>
    <row r="469" spans="1:7">
      <c r="A469" s="155"/>
      <c r="B469" s="163"/>
      <c r="C469" s="157"/>
      <c r="D469" s="158"/>
      <c r="E469" s="159"/>
      <c r="F469" s="160"/>
      <c r="G469" s="156"/>
    </row>
    <row r="470" spans="1:7">
      <c r="A470" s="155"/>
      <c r="B470" s="163"/>
      <c r="C470" s="157"/>
      <c r="D470" s="158"/>
      <c r="E470" s="159"/>
      <c r="F470" s="160"/>
      <c r="G470" s="156"/>
    </row>
    <row r="471" spans="1:7">
      <c r="A471" s="155"/>
      <c r="B471" s="163"/>
      <c r="C471" s="157"/>
      <c r="D471" s="158"/>
      <c r="E471" s="159"/>
      <c r="F471" s="160"/>
      <c r="G471" s="156"/>
    </row>
    <row r="472" spans="1:7">
      <c r="A472" s="155"/>
      <c r="B472" s="163"/>
      <c r="C472" s="157"/>
      <c r="D472" s="158"/>
      <c r="E472" s="159"/>
      <c r="F472" s="160"/>
      <c r="G472" s="156"/>
    </row>
    <row r="473" spans="1:7">
      <c r="A473" s="155"/>
      <c r="B473" s="163"/>
      <c r="C473" s="157"/>
      <c r="D473" s="158"/>
      <c r="E473" s="159"/>
      <c r="F473" s="160"/>
      <c r="G473" s="156"/>
    </row>
    <row r="474" spans="1:7">
      <c r="A474" s="155"/>
      <c r="B474" s="163"/>
      <c r="C474" s="157"/>
      <c r="D474" s="158"/>
      <c r="E474" s="159"/>
      <c r="F474" s="160"/>
      <c r="G474" s="156"/>
    </row>
    <row r="475" spans="1:7">
      <c r="A475" s="155"/>
      <c r="B475" s="163"/>
      <c r="C475" s="157"/>
      <c r="D475" s="158"/>
      <c r="E475" s="159"/>
      <c r="F475" s="160"/>
      <c r="G475" s="156"/>
    </row>
    <row r="476" spans="1:7">
      <c r="A476" s="155"/>
      <c r="B476" s="163"/>
      <c r="C476" s="157"/>
      <c r="D476" s="158"/>
      <c r="E476" s="159"/>
      <c r="F476" s="160"/>
      <c r="G476" s="156"/>
    </row>
    <row r="477" spans="1:7">
      <c r="A477" s="155"/>
      <c r="B477" s="163"/>
      <c r="C477" s="157"/>
      <c r="D477" s="158"/>
      <c r="E477" s="159"/>
      <c r="F477" s="160"/>
      <c r="G477" s="156"/>
    </row>
    <row r="478" spans="1:7">
      <c r="A478" s="155"/>
      <c r="B478" s="163"/>
      <c r="C478" s="157"/>
      <c r="D478" s="158"/>
      <c r="E478" s="159"/>
      <c r="F478" s="160"/>
      <c r="G478" s="156"/>
    </row>
    <row r="479" spans="1:7">
      <c r="A479" s="155"/>
      <c r="B479" s="163"/>
      <c r="C479" s="157"/>
      <c r="D479" s="158"/>
      <c r="E479" s="159"/>
      <c r="F479" s="160"/>
      <c r="G479" s="156"/>
    </row>
    <row r="480" spans="1:7">
      <c r="A480" s="155"/>
      <c r="B480" s="163"/>
      <c r="C480" s="157"/>
      <c r="D480" s="158"/>
      <c r="E480" s="159"/>
      <c r="F480" s="160"/>
      <c r="G480" s="156"/>
    </row>
    <row r="481" spans="1:7">
      <c r="A481" s="155"/>
      <c r="B481" s="163"/>
      <c r="C481" s="157"/>
      <c r="D481" s="158"/>
      <c r="E481" s="159"/>
      <c r="F481" s="160"/>
      <c r="G481" s="156"/>
    </row>
    <row r="482" spans="1:7">
      <c r="A482" s="155"/>
      <c r="B482" s="163"/>
      <c r="C482" s="157"/>
      <c r="D482" s="158"/>
      <c r="E482" s="159"/>
      <c r="F482" s="160"/>
      <c r="G482" s="156"/>
    </row>
    <row r="483" spans="1:7">
      <c r="A483" s="155"/>
      <c r="B483" s="163"/>
      <c r="C483" s="157"/>
      <c r="D483" s="158"/>
      <c r="E483" s="159"/>
      <c r="F483" s="160"/>
      <c r="G483" s="156"/>
    </row>
    <row r="484" spans="1:7">
      <c r="A484" s="155"/>
      <c r="B484" s="163"/>
      <c r="C484" s="157"/>
      <c r="D484" s="158"/>
      <c r="E484" s="159"/>
      <c r="F484" s="160"/>
      <c r="G484" s="156"/>
    </row>
    <row r="485" spans="1:7">
      <c r="A485" s="155"/>
      <c r="B485" s="163"/>
      <c r="C485" s="157"/>
      <c r="D485" s="158"/>
      <c r="E485" s="159"/>
      <c r="F485" s="160"/>
      <c r="G485" s="156"/>
    </row>
    <row r="486" spans="1:7">
      <c r="A486" s="155"/>
      <c r="B486" s="163"/>
      <c r="C486" s="157"/>
      <c r="D486" s="158"/>
      <c r="E486" s="159"/>
      <c r="F486" s="160"/>
      <c r="G486" s="156"/>
    </row>
    <row r="487" spans="1:7">
      <c r="A487" s="155"/>
      <c r="B487" s="163"/>
      <c r="C487" s="157"/>
      <c r="D487" s="158"/>
      <c r="E487" s="159"/>
      <c r="F487" s="160"/>
      <c r="G487" s="156"/>
    </row>
    <row r="488" spans="1:7">
      <c r="A488" s="155"/>
      <c r="B488" s="163"/>
      <c r="C488" s="157"/>
      <c r="D488" s="158"/>
      <c r="E488" s="159"/>
      <c r="F488" s="160"/>
      <c r="G488" s="156"/>
    </row>
    <row r="489" spans="1:7">
      <c r="A489" s="155"/>
      <c r="B489" s="163"/>
      <c r="C489" s="157"/>
      <c r="D489" s="158"/>
      <c r="E489" s="159"/>
      <c r="F489" s="160"/>
      <c r="G489" s="156"/>
    </row>
    <row r="490" spans="1:7">
      <c r="A490" s="155"/>
      <c r="B490" s="163"/>
      <c r="C490" s="157"/>
      <c r="D490" s="158"/>
      <c r="E490" s="159"/>
      <c r="F490" s="160"/>
      <c r="G490" s="156"/>
    </row>
    <row r="491" spans="1:7">
      <c r="A491" s="155"/>
      <c r="B491" s="163"/>
      <c r="C491" s="157"/>
      <c r="D491" s="158"/>
      <c r="E491" s="159"/>
      <c r="F491" s="160"/>
      <c r="G491" s="156"/>
    </row>
    <row r="492" spans="1:7">
      <c r="A492" s="155"/>
      <c r="B492" s="163"/>
      <c r="C492" s="157"/>
      <c r="D492" s="158"/>
      <c r="E492" s="159"/>
      <c r="F492" s="160"/>
      <c r="G492" s="156"/>
    </row>
    <row r="493" spans="1:7">
      <c r="A493" s="155"/>
      <c r="B493" s="163"/>
      <c r="C493" s="157"/>
      <c r="D493" s="158"/>
      <c r="E493" s="159"/>
      <c r="F493" s="160"/>
      <c r="G493" s="156"/>
    </row>
    <row r="494" spans="1:7">
      <c r="A494" s="155"/>
      <c r="B494" s="163"/>
      <c r="C494" s="157"/>
      <c r="D494" s="158"/>
      <c r="E494" s="159"/>
      <c r="F494" s="160"/>
      <c r="G494" s="156"/>
    </row>
    <row r="495" spans="1:7">
      <c r="A495" s="155"/>
      <c r="B495" s="163"/>
      <c r="C495" s="157"/>
      <c r="D495" s="158"/>
      <c r="E495" s="159"/>
      <c r="F495" s="160"/>
      <c r="G495" s="156"/>
    </row>
    <row r="496" spans="1:7">
      <c r="A496" s="155"/>
      <c r="B496" s="163"/>
      <c r="C496" s="157"/>
      <c r="D496" s="158"/>
      <c r="E496" s="159"/>
      <c r="F496" s="160"/>
      <c r="G496" s="156"/>
    </row>
    <row r="497" spans="1:7">
      <c r="A497" s="155"/>
      <c r="B497" s="163"/>
      <c r="C497" s="157"/>
      <c r="D497" s="158"/>
      <c r="E497" s="159"/>
      <c r="F497" s="160"/>
      <c r="G497" s="156"/>
    </row>
    <row r="498" spans="1:7">
      <c r="A498" s="155"/>
      <c r="B498" s="163"/>
      <c r="C498" s="157"/>
      <c r="D498" s="158"/>
      <c r="E498" s="159"/>
      <c r="F498" s="160"/>
      <c r="G498" s="156"/>
    </row>
    <row r="499" spans="1:7">
      <c r="A499" s="155"/>
      <c r="B499" s="163"/>
      <c r="C499" s="157"/>
      <c r="D499" s="158"/>
      <c r="E499" s="159"/>
      <c r="F499" s="160"/>
      <c r="G499" s="156"/>
    </row>
    <row r="500" spans="1:7">
      <c r="A500" s="155"/>
      <c r="B500" s="163"/>
      <c r="C500" s="157"/>
      <c r="D500" s="158"/>
      <c r="E500" s="159"/>
      <c r="F500" s="160"/>
      <c r="G500" s="156"/>
    </row>
    <row r="501" spans="1:7">
      <c r="A501" s="155"/>
      <c r="B501" s="163"/>
      <c r="C501" s="157"/>
      <c r="D501" s="158"/>
      <c r="E501" s="159"/>
      <c r="F501" s="160"/>
      <c r="G501" s="156"/>
    </row>
    <row r="502" spans="1:7">
      <c r="A502" s="155"/>
      <c r="B502" s="163"/>
      <c r="C502" s="157"/>
      <c r="D502" s="158"/>
      <c r="E502" s="159"/>
      <c r="F502" s="160"/>
      <c r="G502" s="156"/>
    </row>
    <row r="503" spans="1:7">
      <c r="A503" s="155"/>
      <c r="B503" s="163"/>
      <c r="C503" s="157"/>
      <c r="D503" s="158"/>
      <c r="E503" s="159"/>
      <c r="F503" s="160"/>
      <c r="G503" s="156"/>
    </row>
    <row r="504" spans="1:7">
      <c r="A504" s="155"/>
      <c r="B504" s="163"/>
      <c r="C504" s="157"/>
      <c r="D504" s="158"/>
      <c r="E504" s="159"/>
      <c r="F504" s="160"/>
      <c r="G504" s="156"/>
    </row>
    <row r="505" spans="1:7">
      <c r="A505" s="155"/>
      <c r="B505" s="163"/>
      <c r="C505" s="157"/>
      <c r="D505" s="158"/>
      <c r="E505" s="159"/>
      <c r="F505" s="160"/>
      <c r="G505" s="156"/>
    </row>
    <row r="506" spans="1:7">
      <c r="A506" s="155"/>
      <c r="B506" s="163"/>
      <c r="C506" s="157"/>
      <c r="D506" s="158"/>
      <c r="E506" s="159"/>
      <c r="F506" s="160"/>
      <c r="G506" s="156"/>
    </row>
    <row r="507" spans="1:7">
      <c r="A507" s="155"/>
      <c r="B507" s="163"/>
      <c r="C507" s="157"/>
      <c r="D507" s="158"/>
      <c r="E507" s="159"/>
      <c r="F507" s="160"/>
      <c r="G507" s="156"/>
    </row>
    <row r="508" spans="1:7">
      <c r="A508" s="155"/>
      <c r="B508" s="163"/>
      <c r="C508" s="157"/>
      <c r="D508" s="158"/>
      <c r="E508" s="159"/>
      <c r="F508" s="160"/>
      <c r="G508" s="156"/>
    </row>
    <row r="509" spans="1:7">
      <c r="A509" s="155"/>
      <c r="B509" s="163"/>
      <c r="C509" s="157"/>
      <c r="D509" s="158"/>
      <c r="E509" s="159"/>
      <c r="F509" s="160"/>
      <c r="G509" s="156"/>
    </row>
    <row r="510" spans="1:7">
      <c r="A510" s="155"/>
      <c r="B510" s="163"/>
      <c r="C510" s="157"/>
      <c r="D510" s="158"/>
      <c r="E510" s="159"/>
      <c r="F510" s="160"/>
      <c r="G510" s="156"/>
    </row>
    <row r="511" spans="1:7">
      <c r="A511" s="155"/>
      <c r="B511" s="163"/>
      <c r="C511" s="157"/>
      <c r="D511" s="158"/>
      <c r="E511" s="159"/>
      <c r="F511" s="160"/>
      <c r="G511" s="156"/>
    </row>
    <row r="512" spans="1:7">
      <c r="A512" s="155"/>
      <c r="B512" s="163"/>
      <c r="C512" s="157"/>
      <c r="D512" s="158"/>
      <c r="E512" s="159"/>
      <c r="F512" s="160"/>
      <c r="G512" s="156"/>
    </row>
    <row r="513" spans="1:7">
      <c r="A513" s="155"/>
      <c r="B513" s="163"/>
      <c r="C513" s="157"/>
      <c r="D513" s="158"/>
      <c r="E513" s="159"/>
      <c r="F513" s="160"/>
      <c r="G513" s="156"/>
    </row>
    <row r="514" spans="1:7">
      <c r="A514" s="155"/>
      <c r="B514" s="163"/>
      <c r="C514" s="157"/>
      <c r="D514" s="158"/>
      <c r="E514" s="159"/>
      <c r="F514" s="160"/>
      <c r="G514" s="156"/>
    </row>
    <row r="515" spans="1:7">
      <c r="A515" s="155"/>
      <c r="B515" s="163"/>
      <c r="C515" s="157"/>
      <c r="D515" s="158"/>
      <c r="E515" s="159"/>
      <c r="F515" s="160"/>
      <c r="G515" s="156"/>
    </row>
    <row r="516" spans="1:7">
      <c r="A516" s="155"/>
      <c r="B516" s="163"/>
      <c r="C516" s="157"/>
      <c r="D516" s="158"/>
      <c r="E516" s="159"/>
      <c r="F516" s="160"/>
      <c r="G516" s="156"/>
    </row>
    <row r="517" spans="1:7">
      <c r="A517" s="155"/>
      <c r="B517" s="163"/>
      <c r="C517" s="157"/>
      <c r="D517" s="158"/>
      <c r="E517" s="159"/>
      <c r="F517" s="160"/>
      <c r="G517" s="156"/>
    </row>
    <row r="518" spans="1:7">
      <c r="A518" s="155"/>
      <c r="B518" s="163"/>
      <c r="C518" s="157"/>
      <c r="D518" s="158"/>
      <c r="E518" s="159"/>
      <c r="F518" s="160"/>
      <c r="G518" s="156"/>
    </row>
    <row r="519" spans="1:7">
      <c r="A519" s="155"/>
      <c r="B519" s="163"/>
      <c r="C519" s="157"/>
      <c r="D519" s="158"/>
      <c r="E519" s="159"/>
      <c r="F519" s="160"/>
      <c r="G519" s="156"/>
    </row>
    <row r="520" spans="1:7">
      <c r="A520" s="155"/>
      <c r="B520" s="163"/>
      <c r="C520" s="157"/>
      <c r="D520" s="158"/>
      <c r="E520" s="159"/>
      <c r="F520" s="160"/>
      <c r="G520" s="156"/>
    </row>
    <row r="521" spans="1:7">
      <c r="A521" s="155"/>
      <c r="B521" s="163"/>
      <c r="C521" s="157"/>
      <c r="D521" s="158"/>
      <c r="E521" s="159"/>
      <c r="F521" s="160"/>
      <c r="G521" s="156"/>
    </row>
    <row r="522" spans="1:7">
      <c r="A522" s="155"/>
      <c r="B522" s="163"/>
      <c r="C522" s="157"/>
      <c r="D522" s="158"/>
      <c r="E522" s="159"/>
      <c r="F522" s="160"/>
      <c r="G522" s="156"/>
    </row>
    <row r="523" spans="1:7">
      <c r="A523" s="155"/>
      <c r="B523" s="163"/>
      <c r="C523" s="157"/>
      <c r="D523" s="158"/>
      <c r="E523" s="159"/>
      <c r="F523" s="160"/>
      <c r="G523" s="156"/>
    </row>
    <row r="524" spans="1:7">
      <c r="A524" s="155"/>
      <c r="B524" s="163"/>
      <c r="C524" s="157"/>
      <c r="D524" s="158"/>
      <c r="E524" s="159"/>
      <c r="F524" s="160"/>
      <c r="G524" s="156"/>
    </row>
    <row r="525" spans="1:7">
      <c r="A525" s="155"/>
      <c r="B525" s="163"/>
      <c r="C525" s="157"/>
      <c r="D525" s="158"/>
      <c r="E525" s="159"/>
      <c r="F525" s="160"/>
      <c r="G525" s="156"/>
    </row>
    <row r="526" spans="1:7">
      <c r="A526" s="155"/>
      <c r="B526" s="163"/>
      <c r="C526" s="157"/>
      <c r="D526" s="158"/>
      <c r="E526" s="159"/>
      <c r="F526" s="160"/>
      <c r="G526" s="156"/>
    </row>
    <row r="527" spans="1:7">
      <c r="A527" s="155"/>
      <c r="B527" s="163"/>
      <c r="C527" s="157"/>
      <c r="D527" s="158"/>
      <c r="E527" s="159"/>
      <c r="F527" s="160"/>
      <c r="G527" s="156"/>
    </row>
    <row r="528" spans="1:7">
      <c r="A528" s="155"/>
      <c r="B528" s="163"/>
      <c r="C528" s="157"/>
      <c r="D528" s="158"/>
      <c r="E528" s="159"/>
      <c r="F528" s="160"/>
      <c r="G528" s="156"/>
    </row>
    <row r="529" spans="1:7">
      <c r="A529" s="155"/>
      <c r="B529" s="163"/>
      <c r="C529" s="157"/>
      <c r="D529" s="158"/>
      <c r="E529" s="159"/>
      <c r="F529" s="160"/>
      <c r="G529" s="156"/>
    </row>
    <row r="530" spans="1:7">
      <c r="A530" s="155"/>
      <c r="B530" s="163"/>
      <c r="C530" s="157"/>
      <c r="D530" s="158"/>
      <c r="E530" s="159"/>
      <c r="F530" s="160"/>
      <c r="G530" s="156"/>
    </row>
    <row r="531" spans="1:7">
      <c r="A531" s="155"/>
      <c r="B531" s="163"/>
      <c r="C531" s="157"/>
      <c r="D531" s="158"/>
      <c r="E531" s="159"/>
      <c r="F531" s="160"/>
      <c r="G531" s="156"/>
    </row>
    <row r="532" spans="1:7">
      <c r="A532" s="155"/>
      <c r="B532" s="163"/>
      <c r="C532" s="157"/>
      <c r="D532" s="158"/>
      <c r="E532" s="159"/>
      <c r="F532" s="160"/>
      <c r="G532" s="156"/>
    </row>
    <row r="533" spans="1:7">
      <c r="A533" s="155"/>
      <c r="B533" s="163"/>
      <c r="C533" s="157"/>
      <c r="D533" s="158"/>
      <c r="E533" s="159"/>
      <c r="F533" s="160"/>
      <c r="G533" s="156"/>
    </row>
    <row r="534" spans="1:7">
      <c r="A534" s="155"/>
      <c r="B534" s="163"/>
      <c r="C534" s="157"/>
      <c r="D534" s="158"/>
      <c r="E534" s="159"/>
      <c r="F534" s="160"/>
      <c r="G534" s="156"/>
    </row>
    <row r="535" spans="1:7">
      <c r="A535" s="155"/>
      <c r="B535" s="163"/>
      <c r="C535" s="157"/>
      <c r="D535" s="158"/>
      <c r="E535" s="159"/>
      <c r="F535" s="160"/>
      <c r="G535" s="156"/>
    </row>
    <row r="536" spans="1:7">
      <c r="A536" s="155"/>
      <c r="B536" s="163"/>
      <c r="C536" s="157"/>
      <c r="D536" s="158"/>
      <c r="E536" s="159"/>
      <c r="F536" s="160"/>
      <c r="G536" s="156"/>
    </row>
    <row r="537" spans="1:7">
      <c r="A537" s="155"/>
      <c r="B537" s="163"/>
      <c r="C537" s="157"/>
      <c r="D537" s="158"/>
      <c r="E537" s="159"/>
      <c r="F537" s="160"/>
      <c r="G537" s="156"/>
    </row>
    <row r="538" spans="1:7">
      <c r="A538" s="155"/>
      <c r="B538" s="163"/>
      <c r="C538" s="157"/>
      <c r="D538" s="158"/>
      <c r="E538" s="159"/>
      <c r="F538" s="160"/>
      <c r="G538" s="156"/>
    </row>
    <row r="539" spans="1:7">
      <c r="A539" s="155"/>
      <c r="B539" s="163"/>
      <c r="C539" s="157"/>
      <c r="D539" s="158"/>
      <c r="E539" s="159"/>
      <c r="F539" s="160"/>
      <c r="G539" s="156"/>
    </row>
    <row r="540" spans="1:7">
      <c r="A540" s="155"/>
      <c r="B540" s="163"/>
      <c r="C540" s="157"/>
      <c r="D540" s="158"/>
      <c r="E540" s="159"/>
      <c r="F540" s="160"/>
      <c r="G540" s="156"/>
    </row>
    <row r="541" spans="1:7">
      <c r="A541" s="155"/>
      <c r="B541" s="163"/>
      <c r="C541" s="157"/>
      <c r="D541" s="158"/>
      <c r="E541" s="159"/>
      <c r="F541" s="160"/>
      <c r="G541" s="156"/>
    </row>
    <row r="542" spans="1:7">
      <c r="A542" s="155"/>
      <c r="B542" s="163"/>
      <c r="C542" s="157"/>
      <c r="D542" s="158"/>
      <c r="E542" s="159"/>
      <c r="F542" s="160"/>
      <c r="G542" s="156"/>
    </row>
    <row r="543" spans="1:7">
      <c r="A543" s="155"/>
      <c r="B543" s="163"/>
      <c r="C543" s="157"/>
      <c r="D543" s="158"/>
      <c r="E543" s="159"/>
      <c r="F543" s="160"/>
      <c r="G543" s="156"/>
    </row>
    <row r="544" spans="1:7">
      <c r="A544" s="155"/>
      <c r="B544" s="163"/>
      <c r="C544" s="157"/>
      <c r="D544" s="158"/>
      <c r="E544" s="159"/>
      <c r="F544" s="160"/>
      <c r="G544" s="156"/>
    </row>
    <row r="545" spans="1:7">
      <c r="A545" s="155"/>
      <c r="B545" s="163"/>
      <c r="C545" s="157"/>
      <c r="D545" s="158"/>
      <c r="E545" s="159"/>
      <c r="F545" s="160"/>
      <c r="G545" s="156"/>
    </row>
    <row r="546" spans="1:7">
      <c r="A546" s="155"/>
      <c r="B546" s="163"/>
      <c r="C546" s="157"/>
      <c r="D546" s="158"/>
      <c r="E546" s="159"/>
      <c r="F546" s="160"/>
      <c r="G546" s="156"/>
    </row>
    <row r="547" spans="1:7">
      <c r="A547" s="155"/>
      <c r="B547" s="163"/>
      <c r="C547" s="157"/>
      <c r="D547" s="158"/>
      <c r="E547" s="159"/>
      <c r="F547" s="160"/>
      <c r="G547" s="156"/>
    </row>
    <row r="548" spans="1:7">
      <c r="A548" s="155"/>
      <c r="B548" s="163"/>
      <c r="C548" s="157"/>
      <c r="D548" s="158"/>
      <c r="E548" s="159"/>
      <c r="F548" s="160"/>
      <c r="G548" s="156"/>
    </row>
    <row r="549" spans="1:7">
      <c r="A549" s="155"/>
      <c r="B549" s="163"/>
      <c r="C549" s="157"/>
      <c r="D549" s="158"/>
      <c r="E549" s="159"/>
      <c r="F549" s="160"/>
      <c r="G549" s="156"/>
    </row>
    <row r="550" spans="1:7">
      <c r="A550" s="155"/>
      <c r="B550" s="163"/>
      <c r="C550" s="157"/>
      <c r="D550" s="158"/>
      <c r="E550" s="159"/>
      <c r="F550" s="160"/>
      <c r="G550" s="156"/>
    </row>
    <row r="551" spans="1:7">
      <c r="A551" s="155"/>
      <c r="B551" s="163"/>
      <c r="C551" s="157"/>
      <c r="D551" s="158"/>
      <c r="E551" s="159"/>
      <c r="F551" s="160"/>
      <c r="G551" s="156"/>
    </row>
    <row r="552" spans="1:7">
      <c r="A552" s="155"/>
      <c r="B552" s="163"/>
      <c r="C552" s="157"/>
      <c r="D552" s="158"/>
      <c r="E552" s="159"/>
      <c r="F552" s="160"/>
      <c r="G552" s="156"/>
    </row>
    <row r="553" spans="1:7">
      <c r="A553" s="155"/>
      <c r="B553" s="163"/>
      <c r="C553" s="157"/>
      <c r="D553" s="158"/>
      <c r="E553" s="159"/>
      <c r="F553" s="160"/>
      <c r="G553" s="156"/>
    </row>
    <row r="554" spans="1:7">
      <c r="A554" s="155"/>
      <c r="B554" s="163"/>
      <c r="C554" s="157"/>
      <c r="D554" s="158"/>
      <c r="E554" s="159"/>
      <c r="F554" s="160"/>
      <c r="G554" s="156"/>
    </row>
    <row r="555" spans="1:7">
      <c r="A555" s="155"/>
      <c r="B555" s="163"/>
      <c r="C555" s="157"/>
      <c r="D555" s="158"/>
      <c r="E555" s="159"/>
      <c r="F555" s="160"/>
      <c r="G555" s="156"/>
    </row>
    <row r="556" spans="1:7">
      <c r="A556" s="155"/>
      <c r="B556" s="163"/>
      <c r="C556" s="157"/>
      <c r="D556" s="158"/>
      <c r="E556" s="159"/>
      <c r="F556" s="160"/>
      <c r="G556" s="156"/>
    </row>
    <row r="557" spans="1:7">
      <c r="A557" s="155"/>
      <c r="B557" s="163"/>
      <c r="C557" s="157"/>
      <c r="D557" s="158"/>
      <c r="E557" s="159"/>
      <c r="F557" s="160"/>
      <c r="G557" s="156"/>
    </row>
    <row r="558" spans="1:7">
      <c r="A558" s="155"/>
      <c r="B558" s="163"/>
      <c r="C558" s="157"/>
      <c r="D558" s="158"/>
      <c r="E558" s="159"/>
      <c r="F558" s="160"/>
      <c r="G558" s="156"/>
    </row>
    <row r="559" spans="1:7">
      <c r="A559" s="155"/>
      <c r="B559" s="163"/>
      <c r="C559" s="157"/>
      <c r="D559" s="158"/>
      <c r="E559" s="159"/>
      <c r="F559" s="160"/>
      <c r="G559" s="156"/>
    </row>
    <row r="560" spans="1:7">
      <c r="A560" s="155"/>
      <c r="B560" s="163"/>
      <c r="C560" s="157"/>
      <c r="D560" s="158"/>
      <c r="E560" s="159"/>
      <c r="F560" s="160"/>
      <c r="G560" s="156"/>
    </row>
    <row r="561" spans="1:7">
      <c r="A561" s="155"/>
      <c r="B561" s="163"/>
      <c r="C561" s="157"/>
      <c r="D561" s="158"/>
      <c r="E561" s="159"/>
      <c r="F561" s="160"/>
      <c r="G561" s="156"/>
    </row>
    <row r="562" spans="1:7">
      <c r="A562" s="155"/>
      <c r="B562" s="163"/>
      <c r="C562" s="157"/>
      <c r="D562" s="158"/>
      <c r="E562" s="159"/>
      <c r="F562" s="160"/>
      <c r="G562" s="156"/>
    </row>
    <row r="563" spans="1:7">
      <c r="A563" s="155"/>
      <c r="B563" s="163"/>
      <c r="C563" s="157"/>
      <c r="D563" s="158"/>
      <c r="E563" s="159"/>
      <c r="F563" s="160"/>
      <c r="G563" s="156"/>
    </row>
    <row r="564" spans="1:7">
      <c r="A564" s="155"/>
      <c r="B564" s="163"/>
      <c r="C564" s="157"/>
      <c r="D564" s="158"/>
      <c r="E564" s="159"/>
      <c r="F564" s="160"/>
      <c r="G564" s="156"/>
    </row>
    <row r="565" spans="1:7">
      <c r="A565" s="155"/>
      <c r="B565" s="163"/>
      <c r="C565" s="157"/>
      <c r="D565" s="158"/>
      <c r="E565" s="159"/>
      <c r="F565" s="160"/>
      <c r="G565" s="156"/>
    </row>
    <row r="566" spans="1:7">
      <c r="A566" s="155"/>
      <c r="B566" s="163"/>
      <c r="C566" s="157"/>
      <c r="D566" s="158"/>
      <c r="E566" s="159"/>
      <c r="F566" s="160"/>
      <c r="G566" s="156"/>
    </row>
    <row r="567" spans="1:7">
      <c r="A567" s="155"/>
      <c r="B567" s="163"/>
      <c r="C567" s="157"/>
      <c r="D567" s="158"/>
      <c r="E567" s="159"/>
      <c r="F567" s="160"/>
      <c r="G567" s="156"/>
    </row>
    <row r="568" spans="1:7">
      <c r="A568" s="155"/>
      <c r="B568" s="163"/>
      <c r="C568" s="157"/>
      <c r="D568" s="158"/>
      <c r="E568" s="159"/>
      <c r="F568" s="160"/>
      <c r="G568" s="156"/>
    </row>
    <row r="569" spans="1:7">
      <c r="A569" s="155"/>
      <c r="B569" s="163"/>
      <c r="C569" s="157"/>
      <c r="D569" s="158"/>
      <c r="E569" s="159"/>
      <c r="F569" s="160"/>
      <c r="G569" s="156"/>
    </row>
    <row r="570" spans="1:7">
      <c r="A570" s="155"/>
      <c r="B570" s="163"/>
      <c r="C570" s="157"/>
      <c r="D570" s="158"/>
      <c r="E570" s="159"/>
      <c r="F570" s="160"/>
      <c r="G570" s="156"/>
    </row>
    <row r="571" spans="1:7">
      <c r="A571" s="155"/>
      <c r="B571" s="163"/>
      <c r="C571" s="157"/>
      <c r="D571" s="158"/>
      <c r="E571" s="159"/>
      <c r="F571" s="160"/>
      <c r="G571" s="156"/>
    </row>
    <row r="572" spans="1:7">
      <c r="A572" s="155"/>
      <c r="B572" s="163"/>
      <c r="C572" s="157"/>
      <c r="D572" s="158"/>
      <c r="E572" s="159"/>
      <c r="F572" s="160"/>
      <c r="G572" s="156"/>
    </row>
    <row r="573" spans="1:7">
      <c r="A573" s="155"/>
      <c r="B573" s="163"/>
      <c r="C573" s="157"/>
      <c r="D573" s="158"/>
      <c r="E573" s="159"/>
      <c r="F573" s="160"/>
      <c r="G573" s="156"/>
    </row>
    <row r="574" spans="1:7">
      <c r="A574" s="155"/>
      <c r="B574" s="163"/>
      <c r="C574" s="157"/>
      <c r="D574" s="158"/>
      <c r="E574" s="159"/>
      <c r="F574" s="160"/>
      <c r="G574" s="156"/>
    </row>
    <row r="575" spans="1:7">
      <c r="A575" s="155"/>
      <c r="B575" s="163"/>
      <c r="C575" s="157"/>
      <c r="D575" s="158"/>
      <c r="E575" s="159"/>
      <c r="F575" s="160"/>
      <c r="G575" s="156"/>
    </row>
    <row r="576" spans="1:7">
      <c r="A576" s="155"/>
      <c r="B576" s="163"/>
      <c r="C576" s="157"/>
      <c r="D576" s="158"/>
      <c r="E576" s="159"/>
      <c r="F576" s="160"/>
      <c r="G576" s="156"/>
    </row>
    <row r="577" spans="1:7">
      <c r="A577" s="155"/>
      <c r="B577" s="163"/>
      <c r="C577" s="157"/>
      <c r="D577" s="158"/>
      <c r="E577" s="159"/>
      <c r="F577" s="160"/>
      <c r="G577" s="156"/>
    </row>
    <row r="578" spans="1:7">
      <c r="A578" s="155"/>
      <c r="B578" s="163"/>
      <c r="C578" s="157"/>
      <c r="D578" s="158"/>
      <c r="E578" s="159"/>
      <c r="F578" s="160"/>
      <c r="G578" s="156"/>
    </row>
    <row r="579" spans="1:7">
      <c r="A579" s="155"/>
      <c r="B579" s="163"/>
      <c r="C579" s="157"/>
      <c r="D579" s="158"/>
      <c r="E579" s="159"/>
      <c r="F579" s="160"/>
      <c r="G579" s="156"/>
    </row>
    <row r="580" spans="1:7">
      <c r="A580" s="155"/>
      <c r="B580" s="163"/>
      <c r="C580" s="157"/>
      <c r="D580" s="158"/>
      <c r="E580" s="159"/>
      <c r="F580" s="160"/>
      <c r="G580" s="156"/>
    </row>
    <row r="581" spans="1:7">
      <c r="A581" s="155"/>
      <c r="B581" s="163"/>
      <c r="C581" s="157"/>
      <c r="D581" s="158"/>
      <c r="E581" s="159"/>
      <c r="F581" s="160"/>
      <c r="G581" s="156"/>
    </row>
    <row r="582" spans="1:7">
      <c r="A582" s="155"/>
      <c r="B582" s="163"/>
      <c r="C582" s="157"/>
      <c r="D582" s="158"/>
      <c r="E582" s="159"/>
      <c r="F582" s="160"/>
      <c r="G582" s="156"/>
    </row>
    <row r="583" spans="1:7">
      <c r="A583" s="155"/>
      <c r="B583" s="163"/>
      <c r="C583" s="157"/>
      <c r="D583" s="158"/>
      <c r="E583" s="159"/>
      <c r="F583" s="160"/>
      <c r="G583" s="156"/>
    </row>
    <row r="584" spans="1:7">
      <c r="A584" s="155"/>
      <c r="B584" s="163"/>
      <c r="C584" s="157"/>
      <c r="D584" s="158"/>
      <c r="E584" s="159"/>
      <c r="F584" s="160"/>
      <c r="G584" s="156"/>
    </row>
    <row r="585" spans="1:7">
      <c r="A585" s="155"/>
      <c r="B585" s="163"/>
      <c r="C585" s="157"/>
      <c r="D585" s="158"/>
      <c r="E585" s="159"/>
      <c r="F585" s="160"/>
      <c r="G585" s="156"/>
    </row>
    <row r="586" spans="1:7">
      <c r="A586" s="155"/>
      <c r="B586" s="163"/>
      <c r="C586" s="157"/>
      <c r="D586" s="158"/>
      <c r="E586" s="159"/>
      <c r="F586" s="160"/>
      <c r="G586" s="156"/>
    </row>
    <row r="587" spans="1:7">
      <c r="A587" s="155"/>
      <c r="B587" s="163"/>
      <c r="C587" s="157"/>
      <c r="D587" s="158"/>
      <c r="E587" s="159"/>
      <c r="F587" s="160"/>
      <c r="G587" s="156"/>
    </row>
    <row r="588" spans="1:7">
      <c r="A588" s="155"/>
      <c r="B588" s="163"/>
      <c r="C588" s="157"/>
      <c r="D588" s="158"/>
      <c r="E588" s="159"/>
      <c r="F588" s="160"/>
      <c r="G588" s="156"/>
    </row>
    <row r="589" spans="1:7">
      <c r="A589" s="155"/>
      <c r="B589" s="163"/>
      <c r="C589" s="157"/>
      <c r="D589" s="158"/>
      <c r="E589" s="159"/>
      <c r="F589" s="160"/>
      <c r="G589" s="156"/>
    </row>
    <row r="590" spans="1:7">
      <c r="A590" s="155"/>
      <c r="B590" s="163"/>
      <c r="C590" s="157"/>
      <c r="D590" s="158"/>
      <c r="E590" s="159"/>
      <c r="F590" s="160"/>
      <c r="G590" s="156"/>
    </row>
    <row r="591" spans="1:7">
      <c r="A591" s="155"/>
      <c r="B591" s="163"/>
      <c r="C591" s="157"/>
      <c r="D591" s="158"/>
      <c r="E591" s="159"/>
      <c r="F591" s="160"/>
      <c r="G591" s="156"/>
    </row>
    <row r="592" spans="1:7">
      <c r="A592" s="155"/>
      <c r="B592" s="163"/>
      <c r="C592" s="157"/>
      <c r="D592" s="158"/>
      <c r="E592" s="159"/>
      <c r="F592" s="160"/>
      <c r="G592" s="156"/>
    </row>
    <row r="593" spans="1:7">
      <c r="A593" s="155"/>
      <c r="B593" s="163"/>
      <c r="C593" s="157"/>
      <c r="D593" s="158"/>
      <c r="E593" s="159"/>
      <c r="F593" s="160"/>
      <c r="G593" s="156"/>
    </row>
    <row r="594" spans="1:7">
      <c r="A594" s="155"/>
      <c r="B594" s="163"/>
      <c r="C594" s="157"/>
      <c r="D594" s="158"/>
      <c r="E594" s="159"/>
      <c r="F594" s="160"/>
      <c r="G594" s="156"/>
    </row>
    <row r="595" spans="1:7">
      <c r="A595" s="155"/>
      <c r="B595" s="163"/>
      <c r="C595" s="157"/>
      <c r="D595" s="158"/>
      <c r="E595" s="159"/>
      <c r="F595" s="160"/>
      <c r="G595" s="156"/>
    </row>
    <row r="596" spans="1:7">
      <c r="A596" s="155"/>
      <c r="B596" s="163"/>
      <c r="C596" s="157"/>
      <c r="D596" s="158"/>
      <c r="E596" s="159"/>
      <c r="F596" s="160"/>
      <c r="G596" s="156"/>
    </row>
    <row r="597" spans="1:7">
      <c r="A597" s="155"/>
      <c r="B597" s="163"/>
      <c r="C597" s="157"/>
      <c r="D597" s="158"/>
      <c r="E597" s="159"/>
      <c r="F597" s="160"/>
      <c r="G597" s="156"/>
    </row>
    <row r="598" spans="1:7">
      <c r="A598" s="155"/>
      <c r="B598" s="163"/>
      <c r="C598" s="157"/>
      <c r="D598" s="158"/>
      <c r="E598" s="159"/>
      <c r="F598" s="160"/>
      <c r="G598" s="156"/>
    </row>
    <row r="599" spans="1:7">
      <c r="A599" s="155"/>
      <c r="B599" s="163"/>
      <c r="C599" s="157"/>
      <c r="D599" s="158"/>
      <c r="E599" s="159"/>
      <c r="F599" s="160"/>
      <c r="G599" s="156"/>
    </row>
    <row r="600" spans="1:7">
      <c r="A600" s="155"/>
      <c r="B600" s="163"/>
      <c r="C600" s="157"/>
      <c r="D600" s="158"/>
      <c r="E600" s="159"/>
      <c r="F600" s="160"/>
      <c r="G600" s="156"/>
    </row>
    <row r="601" spans="1:7">
      <c r="A601" s="155"/>
      <c r="B601" s="163"/>
      <c r="C601" s="157"/>
      <c r="D601" s="158"/>
      <c r="E601" s="159"/>
      <c r="F601" s="160"/>
      <c r="G601" s="156"/>
    </row>
    <row r="602" spans="1:7">
      <c r="A602" s="155"/>
      <c r="B602" s="163"/>
      <c r="C602" s="157"/>
      <c r="D602" s="158"/>
      <c r="E602" s="159"/>
      <c r="F602" s="160"/>
      <c r="G602" s="156"/>
    </row>
    <row r="603" spans="1:7">
      <c r="A603" s="155"/>
      <c r="B603" s="163"/>
      <c r="C603" s="157"/>
      <c r="D603" s="158"/>
      <c r="E603" s="159"/>
      <c r="F603" s="160"/>
      <c r="G603" s="156"/>
    </row>
    <row r="604" spans="1:7">
      <c r="A604" s="155"/>
      <c r="B604" s="163"/>
      <c r="C604" s="157"/>
      <c r="D604" s="158"/>
      <c r="E604" s="159"/>
      <c r="F604" s="160"/>
      <c r="G604" s="156"/>
    </row>
    <row r="605" spans="1:7">
      <c r="A605" s="155"/>
      <c r="B605" s="163"/>
      <c r="C605" s="157"/>
      <c r="D605" s="158"/>
      <c r="E605" s="159"/>
      <c r="F605" s="160"/>
      <c r="G605" s="156"/>
    </row>
    <row r="606" spans="1:7">
      <c r="A606" s="155"/>
      <c r="B606" s="163"/>
      <c r="C606" s="157"/>
      <c r="D606" s="158"/>
      <c r="E606" s="159"/>
      <c r="F606" s="160"/>
      <c r="G606" s="156"/>
    </row>
    <row r="607" spans="1:7">
      <c r="A607" s="155"/>
      <c r="B607" s="163"/>
      <c r="C607" s="157"/>
      <c r="D607" s="158"/>
      <c r="E607" s="159"/>
      <c r="F607" s="160"/>
      <c r="G607" s="156"/>
    </row>
    <row r="608" spans="1:7">
      <c r="A608" s="155"/>
      <c r="B608" s="163"/>
      <c r="C608" s="157"/>
      <c r="D608" s="158"/>
      <c r="E608" s="159"/>
      <c r="F608" s="160"/>
      <c r="G608" s="156"/>
    </row>
    <row r="609" spans="1:7">
      <c r="A609" s="155"/>
      <c r="B609" s="163"/>
      <c r="C609" s="157"/>
      <c r="D609" s="158"/>
      <c r="E609" s="159"/>
      <c r="F609" s="160"/>
      <c r="G609" s="156"/>
    </row>
    <row r="610" spans="1:7">
      <c r="A610" s="155"/>
      <c r="B610" s="163"/>
      <c r="C610" s="157"/>
      <c r="D610" s="158"/>
      <c r="E610" s="159"/>
      <c r="F610" s="160"/>
      <c r="G610" s="156"/>
    </row>
    <row r="611" spans="1:7">
      <c r="A611" s="155"/>
      <c r="B611" s="163"/>
      <c r="C611" s="157"/>
      <c r="D611" s="158"/>
      <c r="E611" s="159"/>
      <c r="F611" s="160"/>
      <c r="G611" s="156"/>
    </row>
    <row r="612" spans="1:7">
      <c r="A612" s="155"/>
      <c r="B612" s="163"/>
      <c r="C612" s="157"/>
      <c r="D612" s="158"/>
      <c r="E612" s="159"/>
      <c r="F612" s="160"/>
      <c r="G612" s="156"/>
    </row>
    <row r="613" spans="1:7">
      <c r="A613" s="155"/>
      <c r="B613" s="163"/>
      <c r="C613" s="157"/>
      <c r="D613" s="158"/>
      <c r="E613" s="159"/>
      <c r="F613" s="160"/>
      <c r="G613" s="156"/>
    </row>
    <row r="614" spans="1:7">
      <c r="A614" s="155"/>
      <c r="B614" s="163"/>
      <c r="C614" s="157"/>
      <c r="D614" s="158"/>
      <c r="E614" s="159"/>
      <c r="F614" s="160"/>
      <c r="G614" s="156"/>
    </row>
    <row r="615" spans="1:7">
      <c r="A615" s="155"/>
      <c r="B615" s="163"/>
      <c r="C615" s="157"/>
      <c r="D615" s="158"/>
      <c r="E615" s="159"/>
      <c r="F615" s="160"/>
      <c r="G615" s="156"/>
    </row>
    <row r="616" spans="1:7">
      <c r="A616" s="155"/>
      <c r="B616" s="163"/>
      <c r="C616" s="157"/>
      <c r="D616" s="158"/>
      <c r="E616" s="159"/>
      <c r="F616" s="160"/>
      <c r="G616" s="156"/>
    </row>
    <row r="617" spans="1:7">
      <c r="A617" s="155"/>
      <c r="B617" s="163"/>
      <c r="C617" s="157"/>
      <c r="D617" s="158"/>
      <c r="E617" s="159"/>
      <c r="F617" s="160"/>
      <c r="G617" s="156"/>
    </row>
    <row r="618" spans="1:7">
      <c r="A618" s="155"/>
      <c r="B618" s="163"/>
      <c r="C618" s="157"/>
      <c r="D618" s="158"/>
      <c r="E618" s="159"/>
      <c r="F618" s="160"/>
      <c r="G618" s="156"/>
    </row>
    <row r="619" spans="1:7">
      <c r="A619" s="155"/>
      <c r="B619" s="163"/>
      <c r="C619" s="157"/>
      <c r="D619" s="158"/>
      <c r="E619" s="159"/>
      <c r="F619" s="160"/>
      <c r="G619" s="156"/>
    </row>
    <row r="620" spans="1:7">
      <c r="A620" s="155"/>
      <c r="B620" s="163"/>
      <c r="C620" s="157"/>
      <c r="D620" s="158"/>
      <c r="E620" s="159"/>
      <c r="F620" s="160"/>
      <c r="G620" s="156"/>
    </row>
    <row r="621" spans="1:7">
      <c r="A621" s="155"/>
      <c r="B621" s="163"/>
      <c r="C621" s="157"/>
      <c r="D621" s="158"/>
      <c r="E621" s="159"/>
      <c r="F621" s="160"/>
      <c r="G621" s="156"/>
    </row>
    <row r="622" spans="1:7">
      <c r="A622" s="155"/>
      <c r="B622" s="163"/>
      <c r="C622" s="157"/>
      <c r="D622" s="158"/>
      <c r="E622" s="159"/>
      <c r="F622" s="160"/>
      <c r="G622" s="156"/>
    </row>
    <row r="623" spans="1:7">
      <c r="A623" s="155"/>
      <c r="B623" s="163"/>
      <c r="C623" s="157"/>
      <c r="D623" s="158"/>
      <c r="E623" s="159"/>
      <c r="F623" s="160"/>
      <c r="G623" s="156"/>
    </row>
    <row r="624" spans="1:7">
      <c r="A624" s="155"/>
      <c r="B624" s="163"/>
      <c r="C624" s="157"/>
      <c r="D624" s="158"/>
      <c r="E624" s="159"/>
      <c r="F624" s="160"/>
      <c r="G624" s="156"/>
    </row>
    <row r="625" spans="1:7">
      <c r="A625" s="155"/>
      <c r="B625" s="163"/>
      <c r="C625" s="157"/>
      <c r="D625" s="158"/>
      <c r="E625" s="159"/>
      <c r="F625" s="160"/>
      <c r="G625" s="156"/>
    </row>
    <row r="626" spans="1:7">
      <c r="A626" s="155"/>
      <c r="B626" s="163"/>
      <c r="C626" s="157"/>
      <c r="D626" s="158"/>
      <c r="E626" s="159"/>
      <c r="F626" s="160"/>
      <c r="G626" s="156"/>
    </row>
    <row r="627" spans="1:7">
      <c r="A627" s="155"/>
      <c r="B627" s="163"/>
      <c r="C627" s="157"/>
      <c r="D627" s="158"/>
      <c r="E627" s="159"/>
      <c r="F627" s="160"/>
      <c r="G627" s="156"/>
    </row>
    <row r="628" spans="1:7">
      <c r="A628" s="155"/>
      <c r="B628" s="163"/>
      <c r="C628" s="157"/>
      <c r="D628" s="158"/>
      <c r="E628" s="159"/>
      <c r="F628" s="160"/>
      <c r="G628" s="156"/>
    </row>
    <row r="629" spans="1:7">
      <c r="A629" s="155"/>
      <c r="B629" s="163"/>
      <c r="C629" s="157"/>
      <c r="D629" s="158"/>
      <c r="E629" s="159"/>
      <c r="F629" s="160"/>
      <c r="G629" s="156"/>
    </row>
    <row r="630" spans="1:7">
      <c r="A630" s="155"/>
      <c r="B630" s="163"/>
      <c r="C630" s="157"/>
      <c r="D630" s="158"/>
      <c r="E630" s="159"/>
      <c r="F630" s="160"/>
      <c r="G630" s="156"/>
    </row>
    <row r="631" spans="1:7">
      <c r="A631" s="155"/>
      <c r="B631" s="163"/>
      <c r="C631" s="157"/>
      <c r="D631" s="158"/>
      <c r="E631" s="159"/>
      <c r="F631" s="160"/>
      <c r="G631" s="156"/>
    </row>
    <row r="632" spans="1:7">
      <c r="A632" s="155"/>
      <c r="B632" s="163"/>
      <c r="C632" s="157"/>
      <c r="D632" s="158"/>
      <c r="E632" s="159"/>
      <c r="F632" s="160"/>
      <c r="G632" s="156"/>
    </row>
    <row r="633" spans="1:7">
      <c r="A633" s="155"/>
      <c r="B633" s="163"/>
      <c r="C633" s="157"/>
      <c r="D633" s="158"/>
      <c r="E633" s="159"/>
      <c r="F633" s="160"/>
      <c r="G633" s="156"/>
    </row>
    <row r="634" spans="1:7">
      <c r="A634" s="155"/>
      <c r="B634" s="163"/>
      <c r="C634" s="157"/>
      <c r="D634" s="158"/>
      <c r="E634" s="159"/>
      <c r="F634" s="160"/>
      <c r="G634" s="156"/>
    </row>
    <row r="635" spans="1:7">
      <c r="A635" s="155"/>
      <c r="B635" s="163"/>
      <c r="C635" s="157"/>
      <c r="D635" s="158"/>
      <c r="E635" s="159"/>
      <c r="F635" s="160"/>
      <c r="G635" s="156"/>
    </row>
    <row r="636" spans="1:7">
      <c r="A636" s="155"/>
      <c r="B636" s="163"/>
      <c r="C636" s="157"/>
      <c r="D636" s="158"/>
      <c r="E636" s="159"/>
      <c r="F636" s="160"/>
      <c r="G636" s="156"/>
    </row>
    <row r="637" spans="1:7">
      <c r="A637" s="155"/>
      <c r="B637" s="163"/>
      <c r="C637" s="157"/>
      <c r="D637" s="158"/>
      <c r="E637" s="159"/>
      <c r="F637" s="160"/>
      <c r="G637" s="156"/>
    </row>
    <row r="638" spans="1:7">
      <c r="A638" s="155"/>
      <c r="B638" s="163"/>
      <c r="C638" s="157"/>
      <c r="D638" s="158"/>
      <c r="E638" s="159"/>
      <c r="F638" s="160"/>
      <c r="G638" s="156"/>
    </row>
    <row r="639" spans="1:7">
      <c r="A639" s="155"/>
      <c r="B639" s="163"/>
      <c r="C639" s="157"/>
      <c r="D639" s="158"/>
      <c r="E639" s="159"/>
      <c r="F639" s="160"/>
      <c r="G639" s="156"/>
    </row>
    <row r="640" spans="1:7">
      <c r="A640" s="155"/>
      <c r="B640" s="163"/>
      <c r="C640" s="157"/>
      <c r="D640" s="158"/>
      <c r="E640" s="159"/>
      <c r="F640" s="160"/>
      <c r="G640" s="156"/>
    </row>
    <row r="641" spans="1:7">
      <c r="A641" s="155"/>
      <c r="B641" s="156"/>
      <c r="C641" s="157"/>
      <c r="D641" s="158"/>
      <c r="E641" s="159"/>
      <c r="F641" s="160"/>
      <c r="G641" s="156"/>
    </row>
    <row r="642" spans="1:7">
      <c r="A642" s="155"/>
      <c r="B642" s="156"/>
      <c r="C642" s="157"/>
      <c r="D642" s="158"/>
      <c r="E642" s="159"/>
      <c r="F642" s="160"/>
      <c r="G642" s="156"/>
    </row>
    <row r="643" spans="1:7">
      <c r="A643" s="155"/>
      <c r="B643" s="156"/>
      <c r="C643" s="157"/>
      <c r="D643" s="158"/>
      <c r="E643" s="159"/>
      <c r="F643" s="160"/>
      <c r="G643" s="156"/>
    </row>
    <row r="644" spans="1:7">
      <c r="A644" s="155"/>
      <c r="B644" s="156"/>
      <c r="C644" s="157"/>
      <c r="D644" s="158"/>
      <c r="E644" s="159"/>
      <c r="F644" s="160"/>
      <c r="G644" s="156"/>
    </row>
    <row r="645" spans="1:7">
      <c r="A645" s="155"/>
      <c r="B645" s="156"/>
      <c r="C645" s="157"/>
      <c r="D645" s="158"/>
      <c r="E645" s="159"/>
      <c r="F645" s="160"/>
      <c r="G645" s="156"/>
    </row>
    <row r="646" spans="1:7">
      <c r="A646" s="155"/>
      <c r="B646" s="156"/>
      <c r="C646" s="157"/>
      <c r="D646" s="158"/>
      <c r="E646" s="159"/>
      <c r="F646" s="160"/>
      <c r="G646" s="156"/>
    </row>
    <row r="647" spans="1:7">
      <c r="A647" s="155"/>
      <c r="B647" s="156"/>
      <c r="C647" s="157"/>
      <c r="D647" s="158"/>
      <c r="E647" s="159"/>
      <c r="F647" s="160"/>
      <c r="G647" s="156"/>
    </row>
    <row r="648" spans="1:7">
      <c r="A648" s="155"/>
      <c r="B648" s="156"/>
      <c r="C648" s="157"/>
      <c r="D648" s="158"/>
      <c r="E648" s="159"/>
      <c r="F648" s="160"/>
      <c r="G648" s="156"/>
    </row>
    <row r="649" spans="1:7">
      <c r="A649" s="155"/>
      <c r="B649" s="156"/>
      <c r="C649" s="157"/>
      <c r="D649" s="158"/>
      <c r="E649" s="159"/>
      <c r="F649" s="160"/>
      <c r="G649" s="156"/>
    </row>
    <row r="650" spans="1:7">
      <c r="A650" s="155"/>
      <c r="B650" s="156"/>
      <c r="C650" s="157"/>
      <c r="D650" s="158"/>
      <c r="E650" s="159"/>
      <c r="F650" s="160"/>
      <c r="G650" s="156"/>
    </row>
    <row r="651" spans="1:7">
      <c r="A651" s="155"/>
      <c r="B651" s="156"/>
      <c r="C651" s="157"/>
      <c r="D651" s="158"/>
      <c r="E651" s="159"/>
      <c r="F651" s="160"/>
      <c r="G651" s="156"/>
    </row>
    <row r="652" spans="1:7">
      <c r="A652" s="155"/>
      <c r="B652" s="156"/>
      <c r="C652" s="157"/>
      <c r="D652" s="158"/>
      <c r="E652" s="159"/>
      <c r="F652" s="160"/>
      <c r="G652" s="156"/>
    </row>
    <row r="653" spans="1:7">
      <c r="A653" s="155"/>
      <c r="B653" s="156"/>
      <c r="C653" s="157"/>
      <c r="D653" s="158"/>
      <c r="E653" s="159"/>
      <c r="F653" s="160"/>
      <c r="G653" s="156"/>
    </row>
    <row r="654" spans="1:7">
      <c r="A654" s="155"/>
      <c r="B654" s="156"/>
      <c r="C654" s="157"/>
      <c r="D654" s="158"/>
      <c r="E654" s="159"/>
      <c r="F654" s="160"/>
      <c r="G654" s="156"/>
    </row>
    <row r="655" spans="1:7">
      <c r="A655" s="155"/>
      <c r="B655" s="156"/>
      <c r="C655" s="157"/>
      <c r="D655" s="158"/>
      <c r="E655" s="159"/>
      <c r="F655" s="160"/>
      <c r="G655" s="156"/>
    </row>
    <row r="656" spans="1:7">
      <c r="A656" s="155"/>
      <c r="B656" s="156"/>
      <c r="C656" s="157"/>
      <c r="D656" s="158"/>
      <c r="E656" s="159"/>
      <c r="F656" s="160"/>
      <c r="G656" s="156"/>
    </row>
    <row r="657" spans="1:7">
      <c r="A657" s="155"/>
      <c r="B657" s="156"/>
      <c r="C657" s="157"/>
      <c r="D657" s="158"/>
      <c r="E657" s="159"/>
      <c r="F657" s="160"/>
      <c r="G657" s="156"/>
    </row>
    <row r="658" spans="1:7">
      <c r="A658" s="155"/>
      <c r="B658" s="156"/>
      <c r="C658" s="157"/>
      <c r="D658" s="158"/>
      <c r="E658" s="159"/>
      <c r="F658" s="160"/>
      <c r="G658" s="156"/>
    </row>
    <row r="659" spans="1:7">
      <c r="A659" s="155"/>
      <c r="B659" s="156"/>
      <c r="C659" s="157"/>
      <c r="D659" s="158"/>
      <c r="E659" s="159"/>
      <c r="F659" s="160"/>
      <c r="G659" s="156"/>
    </row>
    <row r="660" spans="1:7">
      <c r="A660" s="155"/>
      <c r="B660" s="156"/>
      <c r="C660" s="157"/>
      <c r="D660" s="158"/>
      <c r="E660" s="159"/>
      <c r="F660" s="160"/>
      <c r="G660" s="156"/>
    </row>
    <row r="661" spans="1:7">
      <c r="A661" s="155"/>
      <c r="B661" s="156"/>
      <c r="C661" s="157"/>
      <c r="D661" s="158"/>
      <c r="E661" s="159"/>
      <c r="F661" s="160"/>
      <c r="G661" s="156"/>
    </row>
    <row r="662" spans="1:7">
      <c r="A662" s="155"/>
      <c r="B662" s="156"/>
      <c r="C662" s="157"/>
      <c r="D662" s="158"/>
      <c r="E662" s="159"/>
      <c r="F662" s="160"/>
      <c r="G662" s="156"/>
    </row>
    <row r="663" spans="1:7">
      <c r="A663" s="155"/>
      <c r="B663" s="156"/>
      <c r="C663" s="157"/>
      <c r="D663" s="158"/>
      <c r="E663" s="159"/>
      <c r="F663" s="160"/>
      <c r="G663" s="156"/>
    </row>
    <row r="664" spans="1:7">
      <c r="A664" s="155"/>
      <c r="B664" s="156"/>
      <c r="C664" s="157"/>
      <c r="D664" s="158"/>
      <c r="E664" s="159"/>
      <c r="F664" s="160"/>
      <c r="G664" s="156"/>
    </row>
    <row r="665" spans="1:7">
      <c r="A665" s="155"/>
      <c r="B665" s="156"/>
      <c r="C665" s="157"/>
      <c r="D665" s="158"/>
      <c r="E665" s="159"/>
      <c r="F665" s="160"/>
      <c r="G665" s="156"/>
    </row>
    <row r="666" spans="1:7">
      <c r="A666" s="155"/>
      <c r="B666" s="156"/>
      <c r="C666" s="157"/>
      <c r="D666" s="158"/>
      <c r="E666" s="159"/>
      <c r="F666" s="160"/>
      <c r="G666" s="156"/>
    </row>
    <row r="667" spans="1:7">
      <c r="A667" s="155"/>
      <c r="B667" s="156"/>
      <c r="C667" s="157"/>
      <c r="D667" s="158"/>
      <c r="E667" s="159"/>
      <c r="F667" s="160"/>
      <c r="G667" s="156"/>
    </row>
    <row r="668" spans="1:7">
      <c r="A668" s="155"/>
      <c r="B668" s="156"/>
      <c r="C668" s="157"/>
      <c r="D668" s="158"/>
      <c r="E668" s="159"/>
      <c r="F668" s="160"/>
      <c r="G668" s="156"/>
    </row>
    <row r="669" spans="1:7">
      <c r="A669" s="155"/>
      <c r="B669" s="156"/>
      <c r="C669" s="157"/>
      <c r="D669" s="158"/>
      <c r="E669" s="159"/>
      <c r="F669" s="160"/>
      <c r="G669" s="156"/>
    </row>
    <row r="670" spans="1:7">
      <c r="A670" s="155"/>
      <c r="B670" s="156"/>
      <c r="C670" s="157"/>
      <c r="D670" s="158"/>
      <c r="E670" s="159"/>
      <c r="F670" s="160"/>
      <c r="G670" s="156"/>
    </row>
    <row r="671" spans="1:7">
      <c r="A671" s="155"/>
      <c r="B671" s="156"/>
      <c r="C671" s="157"/>
      <c r="D671" s="158"/>
      <c r="E671" s="159"/>
      <c r="F671" s="160"/>
      <c r="G671" s="156"/>
    </row>
    <row r="672" spans="1:7">
      <c r="A672" s="155"/>
      <c r="B672" s="156"/>
      <c r="C672" s="157"/>
      <c r="D672" s="158"/>
      <c r="E672" s="159"/>
      <c r="F672" s="160"/>
      <c r="G672" s="156"/>
    </row>
    <row r="673" spans="1:7">
      <c r="A673" s="155"/>
      <c r="B673" s="156"/>
      <c r="C673" s="157"/>
      <c r="D673" s="158"/>
      <c r="E673" s="159"/>
      <c r="F673" s="160"/>
      <c r="G673" s="156"/>
    </row>
    <row r="674" spans="1:7">
      <c r="A674" s="155"/>
      <c r="B674" s="156"/>
      <c r="C674" s="157"/>
      <c r="D674" s="158"/>
      <c r="E674" s="159"/>
      <c r="F674" s="160"/>
      <c r="G674" s="156"/>
    </row>
    <row r="675" spans="1:7">
      <c r="A675" s="155"/>
      <c r="B675" s="156"/>
      <c r="C675" s="157"/>
      <c r="D675" s="158"/>
      <c r="E675" s="159"/>
      <c r="F675" s="160"/>
      <c r="G675" s="156"/>
    </row>
    <row r="676" spans="1:7">
      <c r="A676" s="155"/>
      <c r="B676" s="156"/>
      <c r="C676" s="157"/>
      <c r="D676" s="158"/>
      <c r="E676" s="159"/>
      <c r="F676" s="160"/>
      <c r="G676" s="156"/>
    </row>
    <row r="677" spans="1:7">
      <c r="A677" s="155"/>
      <c r="B677" s="156"/>
      <c r="C677" s="157"/>
      <c r="D677" s="158"/>
      <c r="E677" s="159"/>
      <c r="F677" s="160"/>
      <c r="G677" s="156"/>
    </row>
    <row r="678" spans="1:7">
      <c r="A678" s="155"/>
      <c r="B678" s="156"/>
      <c r="C678" s="157"/>
      <c r="D678" s="158"/>
      <c r="E678" s="159"/>
      <c r="F678" s="160"/>
      <c r="G678" s="156"/>
    </row>
    <row r="679" spans="1:7">
      <c r="A679" s="155"/>
      <c r="B679" s="156"/>
      <c r="C679" s="157"/>
      <c r="D679" s="158"/>
      <c r="E679" s="159"/>
      <c r="F679" s="160"/>
      <c r="G679" s="156"/>
    </row>
    <row r="680" spans="1:7">
      <c r="A680" s="155"/>
      <c r="B680" s="156"/>
      <c r="C680" s="157"/>
      <c r="D680" s="158"/>
      <c r="E680" s="159"/>
      <c r="F680" s="160"/>
      <c r="G680" s="156"/>
    </row>
    <row r="681" spans="1:7">
      <c r="A681" s="155"/>
      <c r="B681" s="156"/>
      <c r="C681" s="157"/>
      <c r="D681" s="158"/>
      <c r="E681" s="159"/>
      <c r="F681" s="160"/>
      <c r="G681" s="156"/>
    </row>
    <row r="682" spans="1:7">
      <c r="A682" s="155"/>
      <c r="B682" s="156"/>
      <c r="C682" s="157"/>
      <c r="D682" s="158"/>
      <c r="E682" s="159"/>
      <c r="F682" s="160"/>
      <c r="G682" s="156"/>
    </row>
    <row r="683" spans="1:7">
      <c r="A683" s="155"/>
      <c r="B683" s="156"/>
      <c r="C683" s="157"/>
      <c r="D683" s="158"/>
      <c r="E683" s="159"/>
      <c r="F683" s="160"/>
      <c r="G683" s="156"/>
    </row>
    <row r="684" spans="1:7">
      <c r="A684" s="155"/>
      <c r="B684" s="156"/>
      <c r="C684" s="157"/>
      <c r="D684" s="158"/>
      <c r="E684" s="159"/>
      <c r="F684" s="160"/>
      <c r="G684" s="156"/>
    </row>
    <row r="685" spans="1:7">
      <c r="A685" s="155"/>
      <c r="B685" s="156"/>
      <c r="C685" s="157"/>
      <c r="D685" s="158"/>
      <c r="E685" s="159"/>
      <c r="F685" s="160"/>
      <c r="G685" s="156"/>
    </row>
    <row r="686" spans="1:7">
      <c r="A686" s="155"/>
      <c r="B686" s="156"/>
      <c r="C686" s="157"/>
      <c r="D686" s="158"/>
      <c r="E686" s="159"/>
      <c r="F686" s="160"/>
      <c r="G686" s="156"/>
    </row>
    <row r="687" spans="1:7">
      <c r="A687" s="155"/>
      <c r="B687" s="156"/>
      <c r="C687" s="157"/>
      <c r="D687" s="158"/>
      <c r="E687" s="159"/>
      <c r="F687" s="160"/>
      <c r="G687" s="156"/>
    </row>
    <row r="688" spans="1:7">
      <c r="A688" s="155"/>
      <c r="B688" s="156"/>
      <c r="C688" s="157"/>
      <c r="D688" s="158"/>
      <c r="E688" s="159"/>
      <c r="F688" s="160"/>
      <c r="G688" s="156"/>
    </row>
    <row r="689" spans="1:7">
      <c r="A689" s="155"/>
      <c r="B689" s="156"/>
      <c r="C689" s="157"/>
      <c r="D689" s="158"/>
      <c r="E689" s="159"/>
      <c r="F689" s="160"/>
      <c r="G689" s="156"/>
    </row>
    <row r="690" spans="1:7">
      <c r="A690" s="155"/>
      <c r="B690" s="156"/>
      <c r="C690" s="157"/>
      <c r="D690" s="158"/>
      <c r="E690" s="159"/>
      <c r="F690" s="160"/>
      <c r="G690" s="156"/>
    </row>
    <row r="691" spans="1:7">
      <c r="A691" s="155"/>
      <c r="B691" s="156"/>
      <c r="C691" s="157"/>
      <c r="D691" s="158"/>
      <c r="E691" s="159"/>
      <c r="F691" s="160"/>
      <c r="G691" s="156"/>
    </row>
    <row r="692" spans="1:7">
      <c r="A692" s="155"/>
      <c r="B692" s="156"/>
      <c r="C692" s="157"/>
      <c r="D692" s="158"/>
      <c r="E692" s="159"/>
      <c r="F692" s="160"/>
      <c r="G692" s="156"/>
    </row>
    <row r="693" spans="1:7">
      <c r="A693" s="155"/>
      <c r="B693" s="156"/>
      <c r="C693" s="157"/>
      <c r="D693" s="158"/>
      <c r="E693" s="159"/>
      <c r="F693" s="160"/>
      <c r="G693" s="156"/>
    </row>
    <row r="694" spans="1:7">
      <c r="A694" s="155"/>
      <c r="B694" s="156"/>
      <c r="C694" s="157"/>
      <c r="D694" s="158"/>
      <c r="E694" s="159"/>
      <c r="F694" s="160"/>
      <c r="G694" s="156"/>
    </row>
    <row r="695" spans="1:7">
      <c r="A695" s="155"/>
      <c r="B695" s="156"/>
      <c r="C695" s="157"/>
      <c r="D695" s="158"/>
      <c r="E695" s="159"/>
      <c r="F695" s="160"/>
      <c r="G695" s="156"/>
    </row>
    <row r="696" spans="1:7">
      <c r="A696" s="155"/>
      <c r="B696" s="156"/>
      <c r="C696" s="157"/>
      <c r="D696" s="158"/>
      <c r="E696" s="159"/>
      <c r="F696" s="160"/>
      <c r="G696" s="156"/>
    </row>
    <row r="697" spans="1:7">
      <c r="A697" s="155"/>
      <c r="B697" s="156"/>
      <c r="C697" s="157"/>
      <c r="D697" s="158"/>
      <c r="E697" s="159"/>
      <c r="F697" s="160"/>
      <c r="G697" s="156"/>
    </row>
    <row r="698" spans="1:7">
      <c r="A698" s="155"/>
      <c r="B698" s="156"/>
      <c r="C698" s="157"/>
      <c r="D698" s="158"/>
      <c r="E698" s="159"/>
      <c r="F698" s="160"/>
      <c r="G698" s="156"/>
    </row>
    <row r="699" spans="1:7">
      <c r="A699" s="155"/>
      <c r="B699" s="156"/>
      <c r="C699" s="157"/>
      <c r="D699" s="158"/>
      <c r="E699" s="159"/>
      <c r="F699" s="160"/>
      <c r="G699" s="156"/>
    </row>
    <row r="700" spans="1:7">
      <c r="A700" s="155"/>
      <c r="B700" s="156"/>
      <c r="C700" s="157"/>
      <c r="D700" s="158"/>
      <c r="E700" s="159"/>
      <c r="F700" s="160"/>
      <c r="G700" s="156"/>
    </row>
    <row r="701" spans="1:7">
      <c r="A701" s="155"/>
      <c r="B701" s="156"/>
      <c r="C701" s="157"/>
      <c r="D701" s="158"/>
      <c r="E701" s="159"/>
      <c r="F701" s="160"/>
      <c r="G701" s="156"/>
    </row>
    <row r="702" spans="1:7">
      <c r="A702" s="155"/>
      <c r="B702" s="156"/>
      <c r="C702" s="157"/>
      <c r="D702" s="158"/>
      <c r="E702" s="159"/>
      <c r="F702" s="160"/>
      <c r="G702" s="156"/>
    </row>
    <row r="703" spans="1:7">
      <c r="A703" s="155"/>
      <c r="B703" s="156"/>
      <c r="C703" s="157"/>
      <c r="D703" s="158"/>
      <c r="E703" s="159"/>
      <c r="F703" s="160"/>
      <c r="G703" s="156"/>
    </row>
    <row r="704" spans="1:7">
      <c r="A704" s="155"/>
      <c r="B704" s="156"/>
      <c r="C704" s="157"/>
      <c r="D704" s="158"/>
      <c r="E704" s="159"/>
      <c r="F704" s="160"/>
      <c r="G704" s="156"/>
    </row>
    <row r="705" spans="1:7">
      <c r="A705" s="155"/>
      <c r="B705" s="156"/>
      <c r="C705" s="157"/>
      <c r="D705" s="158"/>
      <c r="E705" s="159"/>
      <c r="F705" s="160"/>
      <c r="G705" s="156"/>
    </row>
    <row r="706" spans="1:7">
      <c r="A706" s="155"/>
      <c r="B706" s="156"/>
      <c r="C706" s="157"/>
      <c r="D706" s="158"/>
      <c r="E706" s="159"/>
      <c r="F706" s="160"/>
      <c r="G706" s="156"/>
    </row>
    <row r="707" spans="1:7">
      <c r="A707" s="155"/>
      <c r="B707" s="156"/>
      <c r="C707" s="157"/>
      <c r="D707" s="158"/>
      <c r="E707" s="159"/>
      <c r="F707" s="160"/>
      <c r="G707" s="156"/>
    </row>
    <row r="708" spans="1:7">
      <c r="A708" s="155"/>
      <c r="B708" s="156"/>
      <c r="C708" s="157"/>
      <c r="D708" s="158"/>
      <c r="E708" s="159"/>
      <c r="F708" s="160"/>
      <c r="G708" s="156"/>
    </row>
    <row r="709" spans="1:7">
      <c r="A709" s="155"/>
      <c r="B709" s="156"/>
      <c r="C709" s="157"/>
      <c r="D709" s="158"/>
      <c r="E709" s="159"/>
      <c r="F709" s="160"/>
      <c r="G709" s="156"/>
    </row>
    <row r="710" spans="1:7">
      <c r="A710" s="155"/>
      <c r="B710" s="156"/>
      <c r="C710" s="157"/>
      <c r="D710" s="158"/>
      <c r="E710" s="159"/>
      <c r="F710" s="160"/>
      <c r="G710" s="156"/>
    </row>
    <row r="711" spans="1:7">
      <c r="A711" s="155"/>
      <c r="B711" s="156"/>
      <c r="C711" s="157"/>
      <c r="D711" s="158"/>
      <c r="E711" s="159"/>
      <c r="F711" s="160"/>
      <c r="G711" s="156"/>
    </row>
    <row r="712" spans="1:7">
      <c r="A712" s="155"/>
      <c r="B712" s="156"/>
      <c r="C712" s="157"/>
      <c r="D712" s="158"/>
      <c r="E712" s="159"/>
      <c r="F712" s="160"/>
      <c r="G712" s="156"/>
    </row>
    <row r="713" spans="1:7">
      <c r="A713" s="155"/>
      <c r="B713" s="156"/>
      <c r="C713" s="157"/>
      <c r="D713" s="158"/>
      <c r="E713" s="159"/>
      <c r="F713" s="160"/>
      <c r="G713" s="156"/>
    </row>
    <row r="714" spans="1:7">
      <c r="A714" s="155"/>
      <c r="B714" s="156"/>
      <c r="C714" s="157"/>
      <c r="D714" s="158"/>
      <c r="E714" s="159"/>
      <c r="F714" s="160"/>
      <c r="G714" s="156"/>
    </row>
    <row r="715" spans="1:7">
      <c r="A715" s="155"/>
      <c r="B715" s="156"/>
      <c r="C715" s="157"/>
      <c r="D715" s="158"/>
      <c r="E715" s="159"/>
      <c r="F715" s="160"/>
      <c r="G715" s="156"/>
    </row>
    <row r="716" spans="1:7">
      <c r="A716" s="155"/>
      <c r="B716" s="156"/>
      <c r="C716" s="157"/>
      <c r="D716" s="158"/>
      <c r="E716" s="159"/>
      <c r="F716" s="160"/>
      <c r="G716" s="156"/>
    </row>
    <row r="717" spans="1:7">
      <c r="A717" s="155"/>
      <c r="B717" s="156"/>
      <c r="C717" s="157"/>
      <c r="D717" s="158"/>
      <c r="E717" s="159"/>
      <c r="F717" s="160"/>
      <c r="G717" s="156"/>
    </row>
    <row r="718" spans="1:7">
      <c r="A718" s="155"/>
      <c r="B718" s="156"/>
      <c r="C718" s="157"/>
      <c r="D718" s="158"/>
      <c r="E718" s="159"/>
      <c r="F718" s="160"/>
      <c r="G718" s="156"/>
    </row>
    <row r="719" spans="1:7">
      <c r="A719" s="155"/>
      <c r="B719" s="156"/>
      <c r="C719" s="157"/>
      <c r="D719" s="158"/>
      <c r="E719" s="159"/>
      <c r="F719" s="160"/>
      <c r="G719" s="156"/>
    </row>
    <row r="720" spans="1:7">
      <c r="A720" s="155"/>
      <c r="B720" s="156"/>
      <c r="C720" s="157"/>
      <c r="D720" s="158"/>
      <c r="E720" s="159"/>
      <c r="F720" s="160"/>
      <c r="G720" s="156"/>
    </row>
    <row r="721" spans="1:7">
      <c r="A721" s="155"/>
      <c r="B721" s="156"/>
      <c r="C721" s="157"/>
      <c r="D721" s="158"/>
      <c r="E721" s="159"/>
      <c r="F721" s="160"/>
      <c r="G721" s="156"/>
    </row>
    <row r="722" spans="1:7">
      <c r="A722" s="155"/>
      <c r="B722" s="156"/>
      <c r="C722" s="157"/>
      <c r="D722" s="158"/>
      <c r="E722" s="159"/>
      <c r="F722" s="160"/>
      <c r="G722" s="156"/>
    </row>
    <row r="723" spans="1:7">
      <c r="A723" s="155"/>
      <c r="B723" s="156"/>
      <c r="C723" s="157"/>
      <c r="D723" s="158"/>
      <c r="E723" s="159"/>
      <c r="F723" s="160"/>
      <c r="G723" s="156"/>
    </row>
    <row r="724" spans="1:7">
      <c r="A724" s="155"/>
      <c r="B724" s="156"/>
      <c r="C724" s="157"/>
      <c r="D724" s="158"/>
      <c r="E724" s="159"/>
      <c r="F724" s="160"/>
      <c r="G724" s="156"/>
    </row>
    <row r="725" spans="1:7">
      <c r="A725" s="155"/>
      <c r="B725" s="156"/>
      <c r="C725" s="157"/>
      <c r="D725" s="158"/>
      <c r="E725" s="159"/>
      <c r="F725" s="160"/>
      <c r="G725" s="156"/>
    </row>
    <row r="726" spans="1:7">
      <c r="A726" s="155"/>
      <c r="B726" s="156"/>
      <c r="C726" s="157"/>
      <c r="D726" s="158"/>
      <c r="E726" s="159"/>
      <c r="F726" s="160"/>
      <c r="G726" s="156"/>
    </row>
    <row r="727" spans="1:7">
      <c r="A727" s="155"/>
      <c r="B727" s="156"/>
      <c r="C727" s="157"/>
      <c r="D727" s="158"/>
      <c r="E727" s="159"/>
      <c r="F727" s="160"/>
      <c r="G727" s="156"/>
    </row>
    <row r="728" spans="1:7">
      <c r="A728" s="155"/>
      <c r="B728" s="156"/>
      <c r="C728" s="157"/>
      <c r="D728" s="158"/>
      <c r="E728" s="159"/>
      <c r="F728" s="160"/>
      <c r="G728" s="156"/>
    </row>
    <row r="729" spans="1:7">
      <c r="A729" s="155"/>
      <c r="B729" s="156"/>
      <c r="C729" s="157"/>
      <c r="D729" s="158"/>
      <c r="E729" s="159"/>
      <c r="F729" s="160"/>
      <c r="G729" s="156"/>
    </row>
    <row r="730" spans="1:7">
      <c r="A730" s="155"/>
      <c r="B730" s="156"/>
      <c r="C730" s="157"/>
      <c r="D730" s="158"/>
      <c r="E730" s="159"/>
      <c r="F730" s="160"/>
      <c r="G730" s="156"/>
    </row>
    <row r="731" spans="1:7">
      <c r="A731" s="155"/>
      <c r="B731" s="156"/>
      <c r="C731" s="157"/>
      <c r="D731" s="158"/>
      <c r="E731" s="159"/>
      <c r="F731" s="160"/>
      <c r="G731" s="156"/>
    </row>
    <row r="732" spans="1:7">
      <c r="A732" s="155"/>
      <c r="B732" s="156"/>
      <c r="C732" s="157"/>
      <c r="D732" s="158"/>
      <c r="E732" s="159"/>
      <c r="F732" s="160"/>
      <c r="G732" s="156"/>
    </row>
    <row r="733" spans="1:7">
      <c r="A733" s="155"/>
      <c r="B733" s="156"/>
      <c r="C733" s="157"/>
      <c r="D733" s="158"/>
      <c r="E733" s="159"/>
      <c r="F733" s="160"/>
      <c r="G733" s="156"/>
    </row>
    <row r="734" spans="1:7">
      <c r="A734" s="155"/>
      <c r="B734" s="156"/>
      <c r="C734" s="157"/>
      <c r="D734" s="158"/>
      <c r="E734" s="159"/>
      <c r="F734" s="160"/>
      <c r="G734" s="156"/>
    </row>
    <row r="735" spans="1:7">
      <c r="A735" s="155"/>
      <c r="B735" s="156"/>
      <c r="C735" s="157"/>
      <c r="D735" s="158"/>
      <c r="E735" s="159"/>
      <c r="F735" s="160"/>
      <c r="G735" s="156"/>
    </row>
    <row r="736" spans="1:7">
      <c r="A736" s="155"/>
      <c r="B736" s="156"/>
      <c r="C736" s="157"/>
      <c r="D736" s="158"/>
      <c r="E736" s="159"/>
      <c r="F736" s="160"/>
      <c r="G736" s="156"/>
    </row>
    <row r="737" spans="1:7">
      <c r="A737" s="155"/>
      <c r="B737" s="156"/>
      <c r="C737" s="157"/>
      <c r="D737" s="158"/>
      <c r="E737" s="159"/>
      <c r="F737" s="160"/>
      <c r="G737" s="156"/>
    </row>
    <row r="738" spans="1:7">
      <c r="A738" s="155"/>
      <c r="B738" s="156"/>
      <c r="C738" s="157"/>
      <c r="D738" s="158"/>
      <c r="E738" s="159"/>
      <c r="F738" s="160"/>
      <c r="G738" s="156"/>
    </row>
    <row r="739" spans="1:7">
      <c r="A739" s="155"/>
      <c r="B739" s="156"/>
      <c r="C739" s="157"/>
      <c r="D739" s="158"/>
      <c r="E739" s="159"/>
      <c r="F739" s="160"/>
      <c r="G739" s="156"/>
    </row>
    <row r="740" spans="1:7">
      <c r="A740" s="155"/>
      <c r="B740" s="156"/>
      <c r="C740" s="157"/>
      <c r="D740" s="158"/>
      <c r="E740" s="159"/>
      <c r="F740" s="160"/>
      <c r="G740" s="156"/>
    </row>
    <row r="741" spans="1:7">
      <c r="A741" s="155"/>
      <c r="B741" s="156"/>
      <c r="C741" s="157"/>
      <c r="D741" s="158"/>
      <c r="E741" s="159"/>
      <c r="F741" s="160"/>
      <c r="G741" s="156"/>
    </row>
    <row r="742" spans="1:7">
      <c r="A742" s="155"/>
      <c r="B742" s="156"/>
      <c r="C742" s="157"/>
      <c r="D742" s="158"/>
      <c r="E742" s="159"/>
      <c r="F742" s="160"/>
      <c r="G742" s="156"/>
    </row>
    <row r="743" spans="1:7">
      <c r="A743" s="155"/>
      <c r="B743" s="156"/>
      <c r="C743" s="157"/>
      <c r="D743" s="158"/>
      <c r="E743" s="159"/>
      <c r="F743" s="160"/>
      <c r="G743" s="156"/>
    </row>
    <row r="744" spans="1:7">
      <c r="A744" s="155"/>
      <c r="B744" s="156"/>
      <c r="C744" s="157"/>
      <c r="D744" s="158"/>
      <c r="E744" s="159"/>
      <c r="F744" s="160"/>
      <c r="G744" s="156"/>
    </row>
    <row r="745" spans="1:7">
      <c r="A745" s="155"/>
      <c r="B745" s="156"/>
      <c r="C745" s="157"/>
      <c r="D745" s="158"/>
      <c r="E745" s="159"/>
      <c r="F745" s="160"/>
      <c r="G745" s="156"/>
    </row>
    <row r="746" spans="1:7">
      <c r="A746" s="155"/>
      <c r="B746" s="156"/>
      <c r="C746" s="157"/>
      <c r="D746" s="158"/>
      <c r="E746" s="159"/>
      <c r="F746" s="160"/>
      <c r="G746" s="156"/>
    </row>
    <row r="747" spans="1:7">
      <c r="A747" s="155"/>
      <c r="B747" s="156"/>
      <c r="C747" s="157"/>
      <c r="D747" s="158"/>
      <c r="E747" s="159"/>
      <c r="F747" s="160"/>
      <c r="G747" s="156"/>
    </row>
    <row r="748" spans="1:7">
      <c r="A748" s="155"/>
      <c r="B748" s="156"/>
      <c r="C748" s="157"/>
      <c r="D748" s="158"/>
      <c r="E748" s="159"/>
      <c r="F748" s="160"/>
      <c r="G748" s="156"/>
    </row>
    <row r="749" spans="1:7">
      <c r="A749" s="155"/>
      <c r="B749" s="156"/>
      <c r="C749" s="157"/>
      <c r="D749" s="158"/>
      <c r="E749" s="159"/>
      <c r="F749" s="160"/>
      <c r="G749" s="156"/>
    </row>
    <row r="750" spans="1:7">
      <c r="A750" s="155"/>
      <c r="B750" s="156"/>
      <c r="C750" s="157"/>
      <c r="D750" s="158"/>
      <c r="E750" s="159"/>
      <c r="F750" s="160"/>
      <c r="G750" s="156"/>
    </row>
    <row r="751" spans="1:7">
      <c r="A751" s="155"/>
      <c r="B751" s="156"/>
      <c r="C751" s="157"/>
      <c r="D751" s="158"/>
      <c r="E751" s="159"/>
      <c r="F751" s="160"/>
      <c r="G751" s="156"/>
    </row>
    <row r="752" spans="1:7">
      <c r="A752" s="155"/>
      <c r="B752" s="156"/>
      <c r="C752" s="157"/>
      <c r="D752" s="158"/>
      <c r="E752" s="159"/>
      <c r="F752" s="160"/>
      <c r="G752" s="156"/>
    </row>
    <row r="753" spans="1:7">
      <c r="A753" s="155"/>
      <c r="B753" s="156"/>
      <c r="C753" s="157"/>
      <c r="D753" s="158"/>
      <c r="E753" s="159"/>
      <c r="F753" s="160"/>
      <c r="G753" s="156"/>
    </row>
    <row r="754" spans="1:7">
      <c r="A754" s="155"/>
      <c r="B754" s="156"/>
      <c r="C754" s="157"/>
      <c r="D754" s="158"/>
      <c r="E754" s="159"/>
      <c r="F754" s="160"/>
      <c r="G754" s="156"/>
    </row>
    <row r="755" spans="1:7">
      <c r="A755" s="155"/>
      <c r="B755" s="156"/>
      <c r="C755" s="157"/>
      <c r="D755" s="158"/>
      <c r="E755" s="159"/>
      <c r="F755" s="160"/>
      <c r="G755" s="156"/>
    </row>
    <row r="756" spans="1:7">
      <c r="A756" s="155"/>
      <c r="B756" s="156"/>
      <c r="C756" s="157"/>
      <c r="D756" s="158"/>
      <c r="E756" s="159"/>
      <c r="F756" s="160"/>
      <c r="G756" s="156"/>
    </row>
    <row r="757" spans="1:7">
      <c r="A757" s="155"/>
      <c r="B757" s="156"/>
      <c r="C757" s="157"/>
      <c r="D757" s="158"/>
      <c r="E757" s="159"/>
      <c r="F757" s="160"/>
      <c r="G757" s="156"/>
    </row>
    <row r="758" spans="1:7">
      <c r="A758" s="155"/>
      <c r="B758" s="156"/>
      <c r="C758" s="157"/>
      <c r="D758" s="158"/>
      <c r="E758" s="159"/>
      <c r="F758" s="160"/>
      <c r="G758" s="156"/>
    </row>
    <row r="759" spans="1:7">
      <c r="A759" s="155"/>
      <c r="B759" s="156"/>
      <c r="C759" s="157"/>
      <c r="D759" s="158"/>
      <c r="E759" s="159"/>
      <c r="F759" s="160"/>
      <c r="G759" s="156"/>
    </row>
    <row r="760" spans="1:7">
      <c r="A760" s="155"/>
      <c r="B760" s="156"/>
      <c r="C760" s="157"/>
      <c r="D760" s="158"/>
      <c r="E760" s="159"/>
      <c r="F760" s="160"/>
      <c r="G760" s="156"/>
    </row>
    <row r="761" spans="1:7">
      <c r="A761" s="155"/>
      <c r="B761" s="156"/>
      <c r="C761" s="157"/>
      <c r="D761" s="158"/>
      <c r="E761" s="159"/>
      <c r="F761" s="160"/>
      <c r="G761" s="156"/>
    </row>
    <row r="762" spans="1:7">
      <c r="A762" s="155"/>
      <c r="B762" s="156"/>
      <c r="C762" s="157"/>
      <c r="D762" s="158"/>
      <c r="E762" s="159"/>
      <c r="F762" s="160"/>
      <c r="G762" s="156"/>
    </row>
    <row r="763" spans="1:7">
      <c r="A763" s="155"/>
      <c r="B763" s="156"/>
      <c r="C763" s="157"/>
      <c r="D763" s="158"/>
      <c r="E763" s="159"/>
      <c r="F763" s="160"/>
      <c r="G763" s="156"/>
    </row>
    <row r="764" spans="1:7">
      <c r="A764" s="155"/>
      <c r="B764" s="156"/>
      <c r="C764" s="157"/>
      <c r="D764" s="158"/>
      <c r="E764" s="159"/>
      <c r="F764" s="160"/>
      <c r="G764" s="156"/>
    </row>
    <row r="765" spans="1:7">
      <c r="A765" s="155"/>
      <c r="B765" s="156"/>
      <c r="C765" s="157"/>
      <c r="D765" s="158"/>
      <c r="E765" s="159"/>
      <c r="F765" s="160"/>
      <c r="G765" s="156"/>
    </row>
    <row r="766" spans="1:7">
      <c r="A766" s="155"/>
      <c r="B766" s="156"/>
      <c r="C766" s="157"/>
      <c r="D766" s="158"/>
      <c r="E766" s="159"/>
      <c r="F766" s="160"/>
      <c r="G766" s="156"/>
    </row>
    <row r="767" spans="1:7">
      <c r="A767" s="155"/>
      <c r="B767" s="156"/>
      <c r="C767" s="157"/>
      <c r="D767" s="158"/>
      <c r="E767" s="159"/>
      <c r="F767" s="160"/>
      <c r="G767" s="156"/>
    </row>
    <row r="768" spans="1:7">
      <c r="A768" s="155"/>
      <c r="B768" s="156"/>
      <c r="C768" s="157"/>
      <c r="D768" s="158"/>
      <c r="E768" s="159"/>
      <c r="F768" s="160"/>
      <c r="G768" s="156"/>
    </row>
    <row r="769" spans="1:7">
      <c r="A769" s="155"/>
      <c r="B769" s="156"/>
      <c r="C769" s="157"/>
      <c r="D769" s="158"/>
      <c r="E769" s="159"/>
      <c r="F769" s="160"/>
      <c r="G769" s="156"/>
    </row>
    <row r="770" spans="1:7">
      <c r="A770" s="155"/>
      <c r="B770" s="156"/>
      <c r="C770" s="157"/>
      <c r="D770" s="158"/>
      <c r="E770" s="159"/>
      <c r="F770" s="160"/>
      <c r="G770" s="156"/>
    </row>
    <row r="771" spans="1:7">
      <c r="A771" s="155"/>
      <c r="B771" s="156"/>
      <c r="C771" s="157"/>
      <c r="D771" s="158"/>
      <c r="E771" s="159"/>
      <c r="F771" s="160"/>
      <c r="G771" s="156"/>
    </row>
    <row r="772" spans="1:7">
      <c r="A772" s="155"/>
      <c r="B772" s="156"/>
      <c r="C772" s="157"/>
      <c r="D772" s="158"/>
      <c r="E772" s="159"/>
      <c r="F772" s="160"/>
      <c r="G772" s="156"/>
    </row>
    <row r="773" spans="1:7">
      <c r="A773" s="155"/>
      <c r="B773" s="156"/>
      <c r="C773" s="157"/>
      <c r="D773" s="158"/>
      <c r="E773" s="159"/>
      <c r="F773" s="160"/>
      <c r="G773" s="156"/>
    </row>
    <row r="774" spans="1:7">
      <c r="A774" s="155"/>
      <c r="B774" s="156"/>
      <c r="C774" s="157"/>
      <c r="D774" s="158"/>
      <c r="E774" s="159"/>
      <c r="F774" s="160"/>
      <c r="G774" s="156"/>
    </row>
    <row r="775" spans="1:7">
      <c r="A775" s="155"/>
      <c r="B775" s="156"/>
      <c r="C775" s="157"/>
      <c r="D775" s="158"/>
      <c r="E775" s="159"/>
      <c r="F775" s="160"/>
      <c r="G775" s="156"/>
    </row>
    <row r="776" spans="1:7">
      <c r="A776" s="155"/>
      <c r="B776" s="156"/>
      <c r="C776" s="157"/>
      <c r="D776" s="158"/>
      <c r="E776" s="159"/>
      <c r="F776" s="160"/>
      <c r="G776" s="156"/>
    </row>
    <row r="777" spans="1:7">
      <c r="A777" s="155"/>
      <c r="B777" s="156"/>
      <c r="C777" s="157"/>
      <c r="D777" s="158"/>
      <c r="E777" s="159"/>
      <c r="F777" s="160"/>
      <c r="G777" s="156"/>
    </row>
    <row r="778" spans="1:7">
      <c r="A778" s="155"/>
      <c r="B778" s="156"/>
      <c r="C778" s="157"/>
      <c r="D778" s="158"/>
      <c r="E778" s="159"/>
      <c r="F778" s="160"/>
      <c r="G778" s="156"/>
    </row>
    <row r="779" spans="1:7">
      <c r="A779" s="155"/>
      <c r="B779" s="156"/>
      <c r="C779" s="157"/>
      <c r="D779" s="158"/>
      <c r="E779" s="159"/>
      <c r="F779" s="160"/>
      <c r="G779" s="156"/>
    </row>
    <row r="780" spans="1:7">
      <c r="A780" s="155"/>
      <c r="B780" s="156"/>
      <c r="C780" s="157"/>
      <c r="D780" s="158"/>
      <c r="E780" s="159"/>
      <c r="F780" s="160"/>
      <c r="G780" s="156"/>
    </row>
    <row r="781" spans="1:7">
      <c r="A781" s="155"/>
      <c r="B781" s="156"/>
      <c r="C781" s="157"/>
      <c r="D781" s="158"/>
      <c r="E781" s="159"/>
      <c r="F781" s="160"/>
      <c r="G781" s="156"/>
    </row>
    <row r="782" spans="1:7">
      <c r="A782" s="155"/>
      <c r="B782" s="156"/>
      <c r="C782" s="157"/>
      <c r="D782" s="158"/>
      <c r="E782" s="159"/>
      <c r="F782" s="160"/>
      <c r="G782" s="156"/>
    </row>
    <row r="783" spans="1:7">
      <c r="A783" s="155"/>
      <c r="B783" s="156"/>
      <c r="C783" s="157"/>
      <c r="D783" s="158"/>
      <c r="E783" s="159"/>
      <c r="F783" s="160"/>
      <c r="G783" s="156"/>
    </row>
    <row r="784" spans="1:7">
      <c r="A784" s="155"/>
      <c r="B784" s="156"/>
      <c r="C784" s="157"/>
      <c r="D784" s="158"/>
      <c r="E784" s="159"/>
      <c r="F784" s="160"/>
      <c r="G784" s="156"/>
    </row>
    <row r="785" spans="1:7">
      <c r="A785" s="155"/>
      <c r="B785" s="156"/>
      <c r="C785" s="157"/>
      <c r="D785" s="158"/>
      <c r="E785" s="159"/>
      <c r="F785" s="160"/>
      <c r="G785" s="156"/>
    </row>
    <row r="786" spans="1:7">
      <c r="A786" s="155"/>
      <c r="B786" s="156"/>
      <c r="C786" s="157"/>
      <c r="D786" s="158"/>
      <c r="E786" s="159"/>
      <c r="F786" s="160"/>
      <c r="G786" s="156"/>
    </row>
    <row r="787" spans="1:7">
      <c r="A787" s="155"/>
      <c r="B787" s="156"/>
      <c r="C787" s="157"/>
      <c r="D787" s="158"/>
      <c r="E787" s="159"/>
      <c r="F787" s="160"/>
      <c r="G787" s="156"/>
    </row>
    <row r="788" spans="1:7">
      <c r="A788" s="155"/>
      <c r="B788" s="156"/>
      <c r="C788" s="157"/>
      <c r="D788" s="158"/>
      <c r="E788" s="159"/>
      <c r="F788" s="160"/>
      <c r="G788" s="156"/>
    </row>
    <row r="789" spans="1:7">
      <c r="A789" s="155"/>
      <c r="B789" s="156"/>
      <c r="C789" s="157"/>
      <c r="D789" s="158"/>
      <c r="E789" s="159"/>
      <c r="F789" s="160"/>
      <c r="G789" s="156"/>
    </row>
    <row r="790" spans="1:7">
      <c r="A790" s="155"/>
      <c r="B790" s="156"/>
      <c r="C790" s="157"/>
      <c r="D790" s="158"/>
      <c r="E790" s="159"/>
      <c r="F790" s="160"/>
      <c r="G790" s="156"/>
    </row>
    <row r="791" spans="1:7">
      <c r="A791" s="155"/>
      <c r="B791" s="156"/>
      <c r="C791" s="157"/>
      <c r="D791" s="158"/>
      <c r="E791" s="159"/>
      <c r="F791" s="160"/>
      <c r="G791" s="156"/>
    </row>
    <row r="792" spans="1:7">
      <c r="A792" s="155"/>
      <c r="B792" s="156"/>
      <c r="C792" s="157"/>
      <c r="D792" s="158"/>
      <c r="E792" s="159"/>
      <c r="F792" s="160"/>
      <c r="G792" s="156"/>
    </row>
    <row r="793" spans="1:7">
      <c r="A793" s="155"/>
      <c r="B793" s="156"/>
      <c r="C793" s="157"/>
      <c r="D793" s="158"/>
      <c r="E793" s="159"/>
      <c r="F793" s="160"/>
      <c r="G793" s="156"/>
    </row>
    <row r="794" spans="1:7">
      <c r="A794" s="155"/>
      <c r="B794" s="156"/>
      <c r="C794" s="157"/>
      <c r="D794" s="158"/>
      <c r="E794" s="159"/>
      <c r="F794" s="160"/>
      <c r="G794" s="156"/>
    </row>
    <row r="795" spans="1:7">
      <c r="A795" s="155"/>
      <c r="B795" s="156"/>
      <c r="C795" s="157"/>
      <c r="D795" s="158"/>
      <c r="E795" s="159"/>
      <c r="F795" s="160"/>
      <c r="G795" s="156"/>
    </row>
    <row r="796" spans="1:7">
      <c r="A796" s="155"/>
      <c r="B796" s="156"/>
      <c r="C796" s="157"/>
      <c r="D796" s="158"/>
      <c r="E796" s="159"/>
      <c r="F796" s="160"/>
      <c r="G796" s="156"/>
    </row>
    <row r="797" spans="1:7">
      <c r="A797" s="155"/>
      <c r="B797" s="156"/>
      <c r="C797" s="157"/>
      <c r="D797" s="158"/>
      <c r="E797" s="159"/>
      <c r="F797" s="160"/>
      <c r="G797" s="156"/>
    </row>
    <row r="798" spans="1:7">
      <c r="A798" s="155"/>
      <c r="B798" s="156"/>
      <c r="C798" s="157"/>
      <c r="D798" s="158"/>
      <c r="E798" s="159"/>
      <c r="F798" s="160"/>
      <c r="G798" s="156"/>
    </row>
    <row r="799" spans="1:7">
      <c r="A799" s="155"/>
      <c r="B799" s="156"/>
      <c r="C799" s="157"/>
      <c r="D799" s="158"/>
      <c r="E799" s="159"/>
      <c r="F799" s="160"/>
      <c r="G799" s="156"/>
    </row>
    <row r="800" spans="1:7">
      <c r="A800" s="155"/>
      <c r="B800" s="156"/>
      <c r="C800" s="157"/>
      <c r="D800" s="158"/>
      <c r="E800" s="159"/>
      <c r="F800" s="160"/>
      <c r="G800" s="156"/>
    </row>
    <row r="801" spans="1:7">
      <c r="A801" s="155"/>
      <c r="B801" s="156"/>
      <c r="C801" s="157"/>
      <c r="D801" s="158"/>
      <c r="E801" s="159"/>
      <c r="F801" s="160"/>
      <c r="G801" s="156"/>
    </row>
    <row r="802" spans="1:7">
      <c r="A802" s="155"/>
      <c r="B802" s="156"/>
      <c r="C802" s="157"/>
      <c r="D802" s="158"/>
      <c r="E802" s="159"/>
      <c r="F802" s="160"/>
      <c r="G802" s="156"/>
    </row>
    <row r="803" spans="1:7">
      <c r="A803" s="155"/>
      <c r="B803" s="156"/>
      <c r="C803" s="157"/>
      <c r="D803" s="158"/>
      <c r="E803" s="159"/>
      <c r="F803" s="160"/>
      <c r="G803" s="156"/>
    </row>
    <row r="804" spans="1:7">
      <c r="A804" s="155"/>
      <c r="B804" s="156"/>
      <c r="C804" s="157"/>
      <c r="D804" s="158"/>
      <c r="E804" s="159"/>
      <c r="F804" s="160"/>
      <c r="G804" s="156"/>
    </row>
    <row r="805" spans="1:7">
      <c r="A805" s="155"/>
      <c r="B805" s="156"/>
      <c r="C805" s="157"/>
      <c r="D805" s="158"/>
      <c r="E805" s="159"/>
      <c r="F805" s="160"/>
      <c r="G805" s="156"/>
    </row>
    <row r="806" spans="1:7">
      <c r="A806" s="155"/>
      <c r="B806" s="156"/>
      <c r="C806" s="157"/>
      <c r="D806" s="158"/>
      <c r="E806" s="159"/>
      <c r="F806" s="160"/>
      <c r="G806" s="156"/>
    </row>
    <row r="807" spans="1:7">
      <c r="A807" s="155"/>
      <c r="B807" s="156"/>
      <c r="C807" s="157"/>
      <c r="D807" s="158"/>
      <c r="E807" s="159"/>
      <c r="F807" s="160"/>
      <c r="G807" s="156"/>
    </row>
    <row r="808" spans="1:7">
      <c r="A808" s="155"/>
      <c r="B808" s="156"/>
      <c r="C808" s="157"/>
      <c r="D808" s="158"/>
      <c r="E808" s="159"/>
      <c r="F808" s="160"/>
      <c r="G808" s="156"/>
    </row>
    <row r="809" spans="1:7">
      <c r="A809" s="155"/>
      <c r="B809" s="156"/>
      <c r="C809" s="157"/>
      <c r="D809" s="158"/>
      <c r="E809" s="159"/>
      <c r="F809" s="160"/>
      <c r="G809" s="156"/>
    </row>
    <row r="810" spans="1:7">
      <c r="A810" s="155"/>
      <c r="B810" s="156"/>
      <c r="C810" s="157"/>
      <c r="D810" s="158"/>
      <c r="E810" s="159"/>
      <c r="F810" s="160"/>
      <c r="G810" s="156"/>
    </row>
    <row r="811" spans="1:7">
      <c r="A811" s="155"/>
      <c r="B811" s="156"/>
      <c r="C811" s="157"/>
      <c r="D811" s="158"/>
      <c r="E811" s="159"/>
      <c r="F811" s="160"/>
      <c r="G811" s="156"/>
    </row>
    <row r="812" spans="1:7">
      <c r="A812" s="155"/>
      <c r="B812" s="156"/>
      <c r="C812" s="157"/>
      <c r="D812" s="158"/>
      <c r="E812" s="159"/>
      <c r="F812" s="160"/>
      <c r="G812" s="156"/>
    </row>
    <row r="813" spans="1:7">
      <c r="A813" s="155"/>
      <c r="B813" s="156"/>
      <c r="C813" s="157"/>
      <c r="D813" s="158"/>
      <c r="E813" s="159"/>
      <c r="F813" s="160"/>
      <c r="G813" s="156"/>
    </row>
    <row r="814" spans="1:7">
      <c r="A814" s="155"/>
      <c r="B814" s="156"/>
      <c r="C814" s="157"/>
      <c r="D814" s="158"/>
      <c r="E814" s="159"/>
      <c r="F814" s="160"/>
      <c r="G814" s="156"/>
    </row>
    <row r="815" spans="1:7">
      <c r="A815" s="155"/>
      <c r="B815" s="156"/>
      <c r="C815" s="157"/>
      <c r="D815" s="158"/>
      <c r="E815" s="159"/>
      <c r="F815" s="160"/>
      <c r="G815" s="156"/>
    </row>
    <row r="816" spans="1:7">
      <c r="A816" s="155"/>
      <c r="B816" s="156"/>
      <c r="C816" s="157"/>
      <c r="D816" s="158"/>
      <c r="E816" s="159"/>
      <c r="F816" s="160"/>
      <c r="G816" s="156"/>
    </row>
    <row r="817" spans="1:7">
      <c r="A817" s="155"/>
      <c r="B817" s="156"/>
      <c r="C817" s="157"/>
      <c r="D817" s="158"/>
      <c r="E817" s="159"/>
      <c r="F817" s="160"/>
      <c r="G817" s="156"/>
    </row>
    <row r="818" spans="1:7">
      <c r="A818" s="155"/>
      <c r="B818" s="156"/>
      <c r="C818" s="157"/>
      <c r="D818" s="158"/>
      <c r="E818" s="159"/>
      <c r="F818" s="160"/>
      <c r="G818" s="156"/>
    </row>
    <row r="819" spans="1:7">
      <c r="A819" s="155"/>
      <c r="B819" s="156"/>
      <c r="C819" s="157"/>
      <c r="D819" s="158"/>
      <c r="E819" s="159"/>
      <c r="F819" s="160"/>
      <c r="G819" s="156"/>
    </row>
    <row r="820" spans="1:7">
      <c r="A820" s="155"/>
      <c r="B820" s="156"/>
      <c r="C820" s="157"/>
      <c r="D820" s="158"/>
      <c r="E820" s="159"/>
      <c r="F820" s="160"/>
      <c r="G820" s="156"/>
    </row>
    <row r="821" spans="1:7">
      <c r="A821" s="155"/>
      <c r="B821" s="156"/>
      <c r="C821" s="157"/>
      <c r="D821" s="158"/>
      <c r="E821" s="159"/>
      <c r="F821" s="160"/>
      <c r="G821" s="156"/>
    </row>
    <row r="822" spans="1:7">
      <c r="A822" s="155"/>
      <c r="B822" s="156"/>
      <c r="C822" s="157"/>
      <c r="D822" s="158"/>
      <c r="E822" s="159"/>
      <c r="F822" s="160"/>
      <c r="G822" s="156"/>
    </row>
    <row r="823" spans="1:7">
      <c r="A823" s="155"/>
      <c r="B823" s="156"/>
      <c r="C823" s="157"/>
      <c r="D823" s="158"/>
      <c r="E823" s="159"/>
      <c r="F823" s="160"/>
      <c r="G823" s="156"/>
    </row>
    <row r="824" spans="1:7">
      <c r="A824" s="155"/>
      <c r="B824" s="156"/>
      <c r="C824" s="157"/>
      <c r="D824" s="158"/>
      <c r="E824" s="159"/>
      <c r="F824" s="160"/>
      <c r="G824" s="156"/>
    </row>
    <row r="825" spans="1:7">
      <c r="A825" s="155"/>
      <c r="B825" s="156"/>
      <c r="C825" s="157"/>
      <c r="D825" s="158"/>
      <c r="E825" s="159"/>
      <c r="F825" s="160"/>
      <c r="G825" s="156"/>
    </row>
    <row r="826" spans="1:7">
      <c r="A826" s="155"/>
      <c r="B826" s="156"/>
      <c r="C826" s="157"/>
      <c r="D826" s="158"/>
      <c r="E826" s="159"/>
      <c r="F826" s="160"/>
      <c r="G826" s="156"/>
    </row>
    <row r="827" spans="1:7">
      <c r="A827" s="155"/>
      <c r="B827" s="156"/>
      <c r="C827" s="157"/>
      <c r="D827" s="158"/>
      <c r="E827" s="159"/>
      <c r="F827" s="160"/>
      <c r="G827" s="156"/>
    </row>
    <row r="828" spans="1:7">
      <c r="A828" s="155"/>
      <c r="B828" s="156"/>
      <c r="C828" s="157"/>
      <c r="D828" s="158"/>
      <c r="E828" s="159"/>
      <c r="F828" s="160"/>
      <c r="G828" s="156"/>
    </row>
    <row r="829" spans="1:7">
      <c r="A829" s="155"/>
      <c r="B829" s="156"/>
      <c r="C829" s="157"/>
      <c r="D829" s="158"/>
      <c r="E829" s="159"/>
      <c r="F829" s="160"/>
      <c r="G829" s="156"/>
    </row>
    <row r="830" spans="1:7">
      <c r="A830" s="155"/>
      <c r="B830" s="156"/>
      <c r="C830" s="157"/>
      <c r="D830" s="158"/>
      <c r="E830" s="159"/>
      <c r="F830" s="160"/>
      <c r="G830" s="156"/>
    </row>
    <row r="831" spans="1:7">
      <c r="A831" s="155"/>
      <c r="B831" s="156"/>
      <c r="C831" s="157"/>
      <c r="D831" s="158"/>
      <c r="E831" s="159"/>
      <c r="F831" s="160"/>
      <c r="G831" s="156"/>
    </row>
    <row r="832" spans="1:7">
      <c r="A832" s="155"/>
      <c r="B832" s="156"/>
      <c r="C832" s="157"/>
      <c r="D832" s="158"/>
      <c r="E832" s="159"/>
      <c r="F832" s="160"/>
      <c r="G832" s="156"/>
    </row>
    <row r="833" spans="1:7">
      <c r="A833" s="155"/>
      <c r="B833" s="156"/>
      <c r="C833" s="157"/>
      <c r="D833" s="158"/>
      <c r="E833" s="159"/>
      <c r="F833" s="160"/>
      <c r="G833" s="156"/>
    </row>
    <row r="834" spans="1:7">
      <c r="A834" s="155"/>
      <c r="B834" s="156"/>
      <c r="C834" s="157"/>
      <c r="D834" s="158"/>
      <c r="E834" s="159"/>
      <c r="F834" s="160"/>
      <c r="G834" s="156"/>
    </row>
    <row r="835" spans="1:7">
      <c r="A835" s="155"/>
      <c r="B835" s="156"/>
      <c r="C835" s="157"/>
      <c r="D835" s="158"/>
      <c r="E835" s="159"/>
      <c r="F835" s="160"/>
      <c r="G835" s="156"/>
    </row>
    <row r="836" spans="1:7">
      <c r="A836" s="155"/>
      <c r="B836" s="156"/>
      <c r="C836" s="157"/>
      <c r="D836" s="158"/>
      <c r="E836" s="159"/>
      <c r="F836" s="160"/>
      <c r="G836" s="156"/>
    </row>
    <row r="837" spans="1:7">
      <c r="A837" s="155"/>
      <c r="B837" s="156"/>
      <c r="C837" s="157"/>
      <c r="D837" s="158"/>
      <c r="E837" s="159"/>
      <c r="F837" s="160"/>
      <c r="G837" s="156"/>
    </row>
    <row r="838" spans="1:7">
      <c r="A838" s="155"/>
      <c r="B838" s="156"/>
      <c r="C838" s="157"/>
      <c r="D838" s="158"/>
      <c r="E838" s="159"/>
      <c r="F838" s="160"/>
      <c r="G838" s="156"/>
    </row>
    <row r="839" spans="1:7">
      <c r="A839" s="155"/>
      <c r="B839" s="156"/>
      <c r="C839" s="157"/>
      <c r="D839" s="158"/>
      <c r="E839" s="159"/>
      <c r="F839" s="160"/>
      <c r="G839" s="156"/>
    </row>
    <row r="840" spans="1:7">
      <c r="A840" s="155"/>
      <c r="B840" s="156"/>
      <c r="C840" s="157"/>
      <c r="D840" s="158"/>
      <c r="E840" s="159"/>
      <c r="F840" s="160"/>
      <c r="G840" s="156"/>
    </row>
    <row r="841" spans="1:7">
      <c r="A841" s="155"/>
      <c r="B841" s="156"/>
      <c r="C841" s="157"/>
      <c r="D841" s="158"/>
      <c r="E841" s="159"/>
      <c r="F841" s="160"/>
      <c r="G841" s="156"/>
    </row>
    <row r="842" spans="1:7">
      <c r="A842" s="155"/>
      <c r="B842" s="156"/>
      <c r="C842" s="157"/>
      <c r="D842" s="158"/>
      <c r="E842" s="159"/>
      <c r="F842" s="160"/>
      <c r="G842" s="156"/>
    </row>
    <row r="843" spans="1:7">
      <c r="A843" s="155"/>
      <c r="B843" s="156"/>
      <c r="C843" s="157"/>
      <c r="D843" s="158"/>
      <c r="E843" s="159"/>
      <c r="F843" s="160"/>
      <c r="G843" s="156"/>
    </row>
    <row r="844" spans="1:7">
      <c r="A844" s="155"/>
      <c r="B844" s="156"/>
      <c r="C844" s="157"/>
      <c r="D844" s="158"/>
      <c r="E844" s="159"/>
      <c r="F844" s="160"/>
      <c r="G844" s="156"/>
    </row>
    <row r="845" spans="1:7">
      <c r="A845" s="155"/>
      <c r="B845" s="156"/>
      <c r="C845" s="157"/>
      <c r="D845" s="158"/>
      <c r="E845" s="159"/>
      <c r="F845" s="160"/>
      <c r="G845" s="156"/>
    </row>
    <row r="846" spans="1:7">
      <c r="A846" s="155"/>
      <c r="B846" s="156"/>
      <c r="C846" s="157"/>
      <c r="D846" s="158"/>
      <c r="E846" s="159"/>
      <c r="F846" s="160"/>
      <c r="G846" s="156"/>
    </row>
    <row r="847" spans="1:7">
      <c r="A847" s="155"/>
      <c r="B847" s="156"/>
      <c r="C847" s="157"/>
      <c r="D847" s="158"/>
      <c r="E847" s="159"/>
      <c r="F847" s="160"/>
      <c r="G847" s="156"/>
    </row>
    <row r="848" spans="1:7">
      <c r="A848" s="155"/>
      <c r="B848" s="156"/>
      <c r="C848" s="157"/>
      <c r="D848" s="158"/>
      <c r="E848" s="159"/>
      <c r="F848" s="160"/>
      <c r="G848" s="156"/>
    </row>
    <row r="849" spans="1:7">
      <c r="A849" s="155"/>
      <c r="B849" s="156"/>
      <c r="C849" s="157"/>
      <c r="D849" s="158"/>
      <c r="E849" s="159"/>
      <c r="F849" s="160"/>
      <c r="G849" s="156"/>
    </row>
    <row r="850" spans="1:7">
      <c r="A850" s="155"/>
      <c r="B850" s="156"/>
      <c r="C850" s="157"/>
      <c r="D850" s="158"/>
      <c r="E850" s="159"/>
      <c r="F850" s="160"/>
      <c r="G850" s="156"/>
    </row>
    <row r="851" spans="1:7">
      <c r="A851" s="155"/>
      <c r="B851" s="156"/>
      <c r="C851" s="157"/>
      <c r="D851" s="158"/>
      <c r="E851" s="159"/>
      <c r="F851" s="160"/>
      <c r="G851" s="156"/>
    </row>
    <row r="852" spans="1:7">
      <c r="A852" s="155"/>
      <c r="B852" s="156"/>
      <c r="C852" s="157"/>
      <c r="D852" s="158"/>
      <c r="E852" s="159"/>
      <c r="F852" s="160"/>
      <c r="G852" s="156"/>
    </row>
    <row r="853" spans="1:7">
      <c r="A853" s="155"/>
      <c r="B853" s="156"/>
      <c r="C853" s="157"/>
      <c r="D853" s="158"/>
      <c r="E853" s="159"/>
      <c r="F853" s="160"/>
      <c r="G853" s="156"/>
    </row>
    <row r="854" spans="1:7">
      <c r="A854" s="155"/>
      <c r="B854" s="156"/>
      <c r="C854" s="157"/>
      <c r="D854" s="158"/>
      <c r="E854" s="159"/>
      <c r="F854" s="160"/>
      <c r="G854" s="156"/>
    </row>
    <row r="855" spans="1:7">
      <c r="A855" s="155"/>
      <c r="B855" s="156"/>
      <c r="C855" s="157"/>
      <c r="D855" s="158"/>
      <c r="E855" s="159"/>
      <c r="F855" s="160"/>
      <c r="G855" s="156"/>
    </row>
    <row r="856" spans="1:7">
      <c r="A856" s="155"/>
      <c r="B856" s="156"/>
      <c r="C856" s="157"/>
      <c r="D856" s="158"/>
      <c r="E856" s="159"/>
      <c r="F856" s="160"/>
      <c r="G856" s="156"/>
    </row>
    <row r="857" spans="1:7">
      <c r="A857" s="155"/>
      <c r="B857" s="156"/>
      <c r="C857" s="157"/>
      <c r="D857" s="158"/>
      <c r="E857" s="159"/>
      <c r="F857" s="160"/>
      <c r="G857" s="156"/>
    </row>
    <row r="858" spans="1:7">
      <c r="A858" s="155"/>
      <c r="B858" s="156"/>
      <c r="C858" s="157"/>
      <c r="D858" s="158"/>
      <c r="E858" s="159"/>
      <c r="F858" s="160"/>
      <c r="G858" s="156"/>
    </row>
    <row r="859" spans="1:7">
      <c r="A859" s="155"/>
      <c r="B859" s="156"/>
      <c r="C859" s="157"/>
      <c r="D859" s="158"/>
      <c r="E859" s="159"/>
      <c r="F859" s="160"/>
      <c r="G859" s="156"/>
    </row>
    <row r="860" spans="1:7">
      <c r="A860" s="155"/>
      <c r="B860" s="156"/>
      <c r="C860" s="157"/>
      <c r="D860" s="158"/>
      <c r="E860" s="159"/>
      <c r="F860" s="160"/>
      <c r="G860" s="156"/>
    </row>
    <row r="861" spans="1:7">
      <c r="A861" s="155"/>
      <c r="B861" s="156"/>
      <c r="C861" s="157"/>
      <c r="D861" s="158"/>
      <c r="E861" s="159"/>
      <c r="F861" s="160"/>
      <c r="G861" s="156"/>
    </row>
    <row r="862" spans="1:7">
      <c r="A862" s="155"/>
      <c r="B862" s="156"/>
      <c r="C862" s="157"/>
      <c r="D862" s="158"/>
      <c r="E862" s="159"/>
      <c r="F862" s="160"/>
      <c r="G862" s="156"/>
    </row>
    <row r="863" spans="1:7">
      <c r="A863" s="155"/>
      <c r="B863" s="156"/>
      <c r="C863" s="157"/>
      <c r="D863" s="158"/>
      <c r="E863" s="159"/>
      <c r="F863" s="160"/>
      <c r="G863" s="156"/>
    </row>
    <row r="864" spans="1:7">
      <c r="A864" s="155"/>
      <c r="B864" s="156"/>
      <c r="C864" s="157"/>
      <c r="D864" s="158"/>
      <c r="E864" s="159"/>
      <c r="F864" s="160"/>
      <c r="G864" s="156"/>
    </row>
    <row r="865" spans="1:7">
      <c r="A865" s="155"/>
      <c r="B865" s="156"/>
      <c r="C865" s="157"/>
      <c r="D865" s="158"/>
      <c r="E865" s="159"/>
      <c r="F865" s="160"/>
      <c r="G865" s="156"/>
    </row>
    <row r="866" spans="1:7">
      <c r="A866" s="155"/>
      <c r="B866" s="156"/>
      <c r="C866" s="157"/>
      <c r="D866" s="158"/>
      <c r="E866" s="159"/>
      <c r="F866" s="160"/>
      <c r="G866" s="156"/>
    </row>
    <row r="867" spans="1:7">
      <c r="A867" s="155"/>
      <c r="B867" s="156"/>
      <c r="C867" s="157"/>
      <c r="D867" s="158"/>
      <c r="E867" s="159"/>
      <c r="F867" s="160"/>
      <c r="G867" s="156"/>
    </row>
    <row r="868" spans="1:7">
      <c r="A868" s="155"/>
      <c r="B868" s="156"/>
      <c r="C868" s="157"/>
      <c r="D868" s="158"/>
      <c r="E868" s="159"/>
      <c r="F868" s="160"/>
      <c r="G868" s="156"/>
    </row>
    <row r="869" spans="1:7">
      <c r="A869" s="155"/>
      <c r="B869" s="156"/>
      <c r="C869" s="157"/>
      <c r="D869" s="158"/>
      <c r="E869" s="159"/>
      <c r="F869" s="160"/>
      <c r="G869" s="156"/>
    </row>
    <row r="870" spans="1:7">
      <c r="A870" s="155"/>
      <c r="B870" s="156"/>
      <c r="C870" s="157"/>
      <c r="D870" s="158"/>
      <c r="E870" s="159"/>
      <c r="F870" s="160"/>
      <c r="G870" s="156"/>
    </row>
    <row r="871" spans="1:7">
      <c r="A871" s="155"/>
      <c r="B871" s="156"/>
      <c r="C871" s="157"/>
      <c r="D871" s="158"/>
      <c r="E871" s="159"/>
      <c r="F871" s="160"/>
      <c r="G871" s="156"/>
    </row>
    <row r="872" spans="1:7">
      <c r="A872" s="155"/>
      <c r="B872" s="156"/>
      <c r="C872" s="157"/>
      <c r="D872" s="158"/>
      <c r="E872" s="159"/>
      <c r="F872" s="160"/>
      <c r="G872" s="156"/>
    </row>
    <row r="873" spans="1:7">
      <c r="A873" s="155"/>
      <c r="B873" s="156"/>
      <c r="C873" s="157"/>
      <c r="D873" s="158"/>
      <c r="E873" s="159"/>
      <c r="F873" s="160"/>
      <c r="G873" s="156"/>
    </row>
    <row r="874" spans="1:7">
      <c r="A874" s="155"/>
      <c r="B874" s="156"/>
      <c r="C874" s="157"/>
      <c r="D874" s="158"/>
      <c r="E874" s="159"/>
      <c r="F874" s="160"/>
      <c r="G874" s="156"/>
    </row>
    <row r="875" spans="1:7">
      <c r="A875" s="155"/>
      <c r="B875" s="156"/>
      <c r="C875" s="157"/>
      <c r="D875" s="158"/>
      <c r="E875" s="159"/>
      <c r="F875" s="160"/>
      <c r="G875" s="156"/>
    </row>
    <row r="876" spans="1:7">
      <c r="A876" s="155"/>
      <c r="B876" s="156"/>
      <c r="C876" s="157"/>
      <c r="D876" s="158"/>
      <c r="E876" s="159"/>
      <c r="F876" s="160"/>
      <c r="G876" s="156"/>
    </row>
    <row r="877" spans="1:7">
      <c r="A877" s="155"/>
      <c r="B877" s="156"/>
      <c r="C877" s="157"/>
      <c r="D877" s="158"/>
      <c r="E877" s="159"/>
      <c r="F877" s="160"/>
      <c r="G877" s="156"/>
    </row>
    <row r="878" spans="1:7">
      <c r="A878" s="155"/>
      <c r="B878" s="156"/>
      <c r="C878" s="157"/>
      <c r="D878" s="158"/>
      <c r="E878" s="159"/>
      <c r="F878" s="160"/>
      <c r="G878" s="156"/>
    </row>
    <row r="879" spans="1:7">
      <c r="A879" s="155"/>
      <c r="B879" s="156"/>
      <c r="C879" s="157"/>
      <c r="D879" s="158"/>
      <c r="E879" s="159"/>
      <c r="F879" s="160"/>
      <c r="G879" s="156"/>
    </row>
    <row r="880" spans="1:7">
      <c r="A880" s="155"/>
      <c r="B880" s="156"/>
      <c r="C880" s="157"/>
      <c r="D880" s="158"/>
      <c r="E880" s="159"/>
      <c r="F880" s="160"/>
      <c r="G880" s="156"/>
    </row>
    <row r="881" spans="1:7">
      <c r="A881" s="155"/>
      <c r="B881" s="156"/>
      <c r="C881" s="157"/>
      <c r="D881" s="158"/>
      <c r="E881" s="159"/>
      <c r="F881" s="160"/>
      <c r="G881" s="156"/>
    </row>
    <row r="882" spans="1:7">
      <c r="A882" s="155"/>
      <c r="B882" s="156"/>
      <c r="C882" s="157"/>
      <c r="D882" s="158"/>
      <c r="E882" s="159"/>
      <c r="F882" s="160"/>
      <c r="G882" s="156"/>
    </row>
    <row r="883" spans="1:7">
      <c r="A883" s="155"/>
      <c r="B883" s="156"/>
      <c r="C883" s="157"/>
      <c r="D883" s="158"/>
      <c r="E883" s="159"/>
      <c r="F883" s="160"/>
      <c r="G883" s="156"/>
    </row>
    <row r="884" spans="1:7">
      <c r="A884" s="155"/>
      <c r="B884" s="156"/>
      <c r="C884" s="157"/>
      <c r="D884" s="158"/>
      <c r="E884" s="159"/>
      <c r="F884" s="160"/>
      <c r="G884" s="156"/>
    </row>
    <row r="885" spans="1:7">
      <c r="A885" s="155"/>
      <c r="B885" s="156"/>
      <c r="C885" s="157"/>
      <c r="D885" s="158"/>
      <c r="E885" s="159"/>
      <c r="F885" s="160"/>
      <c r="G885" s="156"/>
    </row>
    <row r="886" spans="1:7">
      <c r="A886" s="155"/>
      <c r="B886" s="156"/>
      <c r="C886" s="157"/>
      <c r="D886" s="158"/>
      <c r="E886" s="159"/>
      <c r="F886" s="160"/>
      <c r="G886" s="156"/>
    </row>
    <row r="887" spans="1:7">
      <c r="A887" s="155"/>
      <c r="B887" s="156"/>
      <c r="C887" s="157"/>
      <c r="D887" s="158"/>
      <c r="E887" s="159"/>
      <c r="F887" s="160"/>
      <c r="G887" s="156"/>
    </row>
    <row r="888" spans="1:7">
      <c r="A888" s="155"/>
      <c r="B888" s="156"/>
      <c r="C888" s="157"/>
      <c r="D888" s="158"/>
      <c r="E888" s="159"/>
      <c r="F888" s="160"/>
      <c r="G888" s="156"/>
    </row>
    <row r="889" spans="1:7">
      <c r="A889" s="155"/>
      <c r="B889" s="156"/>
      <c r="C889" s="157"/>
      <c r="D889" s="158"/>
      <c r="E889" s="159"/>
      <c r="F889" s="160"/>
      <c r="G889" s="156"/>
    </row>
    <row r="890" spans="1:7">
      <c r="A890" s="155"/>
      <c r="B890" s="156"/>
      <c r="C890" s="157"/>
      <c r="D890" s="158"/>
      <c r="E890" s="159"/>
      <c r="F890" s="160"/>
      <c r="G890" s="156"/>
    </row>
    <row r="891" spans="1:7">
      <c r="A891" s="155"/>
      <c r="B891" s="156"/>
      <c r="C891" s="157"/>
      <c r="D891" s="158"/>
      <c r="E891" s="159"/>
      <c r="F891" s="160"/>
      <c r="G891" s="156"/>
    </row>
    <row r="892" spans="1:7">
      <c r="A892" s="155"/>
      <c r="B892" s="156"/>
      <c r="C892" s="157"/>
      <c r="D892" s="158"/>
      <c r="E892" s="159"/>
      <c r="F892" s="160"/>
      <c r="G892" s="156"/>
    </row>
    <row r="893" spans="1:7">
      <c r="A893" s="155"/>
      <c r="B893" s="156"/>
      <c r="C893" s="157"/>
      <c r="D893" s="158"/>
      <c r="E893" s="159"/>
      <c r="F893" s="160"/>
      <c r="G893" s="156"/>
    </row>
    <row r="894" spans="1:7">
      <c r="A894" s="155"/>
      <c r="B894" s="156"/>
      <c r="C894" s="157"/>
      <c r="D894" s="158"/>
      <c r="E894" s="159"/>
      <c r="F894" s="160"/>
      <c r="G894" s="156"/>
    </row>
    <row r="895" spans="1:7">
      <c r="A895" s="155"/>
      <c r="B895" s="156"/>
      <c r="C895" s="157"/>
      <c r="D895" s="158"/>
      <c r="E895" s="159"/>
      <c r="F895" s="160"/>
      <c r="G895" s="156"/>
    </row>
    <row r="896" spans="1:7">
      <c r="A896" s="155"/>
      <c r="B896" s="156"/>
      <c r="C896" s="157"/>
      <c r="D896" s="158"/>
      <c r="E896" s="159"/>
      <c r="F896" s="160"/>
      <c r="G896" s="156"/>
    </row>
    <row r="897" spans="1:7">
      <c r="A897" s="155"/>
      <c r="B897" s="156"/>
      <c r="C897" s="157"/>
      <c r="D897" s="158"/>
      <c r="E897" s="159"/>
      <c r="F897" s="160"/>
      <c r="G897" s="156"/>
    </row>
    <row r="898" spans="1:7">
      <c r="A898" s="155"/>
      <c r="B898" s="156"/>
      <c r="C898" s="157"/>
      <c r="D898" s="158"/>
      <c r="E898" s="159"/>
      <c r="F898" s="160"/>
      <c r="G898" s="156"/>
    </row>
    <row r="899" spans="1:7">
      <c r="A899" s="155"/>
      <c r="B899" s="156"/>
      <c r="C899" s="157"/>
      <c r="D899" s="158"/>
      <c r="E899" s="159"/>
      <c r="F899" s="160"/>
      <c r="G899" s="156"/>
    </row>
    <row r="900" spans="1:7">
      <c r="A900" s="155"/>
      <c r="B900" s="156"/>
      <c r="C900" s="157"/>
      <c r="D900" s="158"/>
      <c r="E900" s="159"/>
      <c r="F900" s="160"/>
      <c r="G900" s="156"/>
    </row>
    <row r="901" spans="1:7">
      <c r="A901" s="155"/>
      <c r="B901" s="156"/>
      <c r="C901" s="157"/>
      <c r="D901" s="158"/>
      <c r="E901" s="159"/>
      <c r="F901" s="160"/>
      <c r="G901" s="156"/>
    </row>
    <row r="902" spans="1:7">
      <c r="A902" s="155"/>
      <c r="B902" s="156"/>
      <c r="C902" s="157"/>
      <c r="D902" s="158"/>
      <c r="E902" s="159"/>
      <c r="F902" s="160"/>
      <c r="G902" s="156"/>
    </row>
    <row r="903" spans="1:7">
      <c r="A903" s="155"/>
      <c r="B903" s="156"/>
      <c r="C903" s="157"/>
      <c r="D903" s="158"/>
      <c r="E903" s="159"/>
      <c r="F903" s="160"/>
      <c r="G903" s="156"/>
    </row>
    <row r="904" spans="1:7">
      <c r="A904" s="155"/>
      <c r="B904" s="156"/>
      <c r="C904" s="157"/>
      <c r="D904" s="158"/>
      <c r="E904" s="159"/>
      <c r="F904" s="160"/>
      <c r="G904" s="156"/>
    </row>
    <row r="905" spans="1:7">
      <c r="A905" s="155"/>
      <c r="B905" s="156"/>
      <c r="C905" s="157"/>
      <c r="D905" s="158"/>
      <c r="E905" s="159"/>
      <c r="F905" s="160"/>
      <c r="G905" s="156"/>
    </row>
    <row r="906" spans="1:7">
      <c r="A906" s="155"/>
      <c r="B906" s="156"/>
      <c r="C906" s="157"/>
      <c r="D906" s="158"/>
      <c r="E906" s="159"/>
      <c r="F906" s="160"/>
      <c r="G906" s="156"/>
    </row>
    <row r="907" spans="1:7">
      <c r="A907" s="155"/>
      <c r="B907" s="156"/>
      <c r="C907" s="157"/>
      <c r="D907" s="158"/>
      <c r="E907" s="159"/>
      <c r="F907" s="160"/>
      <c r="G907" s="156"/>
    </row>
    <row r="908" spans="1:7">
      <c r="A908" s="155"/>
      <c r="B908" s="156"/>
      <c r="C908" s="157"/>
      <c r="D908" s="158"/>
      <c r="E908" s="159"/>
      <c r="F908" s="160"/>
      <c r="G908" s="156"/>
    </row>
    <row r="909" spans="1:7">
      <c r="A909" s="155"/>
      <c r="B909" s="156"/>
      <c r="C909" s="157"/>
      <c r="D909" s="158"/>
      <c r="E909" s="159"/>
      <c r="F909" s="160"/>
      <c r="G909" s="156"/>
    </row>
    <row r="910" spans="1:7">
      <c r="A910" s="155"/>
      <c r="B910" s="156"/>
      <c r="C910" s="157"/>
      <c r="D910" s="158"/>
      <c r="E910" s="159"/>
      <c r="F910" s="160"/>
      <c r="G910" s="156"/>
    </row>
    <row r="911" spans="1:7">
      <c r="A911" s="155"/>
      <c r="B911" s="156"/>
      <c r="C911" s="157"/>
      <c r="D911" s="158"/>
      <c r="E911" s="159"/>
      <c r="F911" s="160"/>
      <c r="G911" s="156"/>
    </row>
    <row r="912" spans="1:7">
      <c r="A912" s="155"/>
      <c r="B912" s="156"/>
      <c r="C912" s="157"/>
      <c r="D912" s="158"/>
      <c r="E912" s="159"/>
      <c r="F912" s="160"/>
      <c r="G912" s="156"/>
    </row>
    <row r="913" spans="1:7">
      <c r="A913" s="155"/>
      <c r="B913" s="156"/>
      <c r="C913" s="157"/>
      <c r="D913" s="158"/>
      <c r="E913" s="159"/>
      <c r="F913" s="160"/>
      <c r="G913" s="156"/>
    </row>
    <row r="914" spans="1:7">
      <c r="A914" s="155"/>
      <c r="B914" s="156"/>
      <c r="C914" s="157"/>
      <c r="D914" s="158"/>
      <c r="E914" s="159"/>
      <c r="F914" s="160"/>
      <c r="G914" s="156"/>
    </row>
    <row r="915" spans="1:7">
      <c r="A915" s="155"/>
      <c r="B915" s="156"/>
      <c r="C915" s="157"/>
      <c r="D915" s="158"/>
      <c r="E915" s="159"/>
      <c r="F915" s="160"/>
      <c r="G915" s="156"/>
    </row>
    <row r="916" spans="1:7">
      <c r="A916" s="155"/>
      <c r="B916" s="156"/>
      <c r="C916" s="157"/>
      <c r="D916" s="158"/>
      <c r="E916" s="159"/>
      <c r="F916" s="160"/>
      <c r="G916" s="156"/>
    </row>
    <row r="917" spans="1:7">
      <c r="A917" s="155"/>
      <c r="B917" s="156"/>
      <c r="C917" s="157"/>
      <c r="D917" s="158"/>
      <c r="E917" s="159"/>
      <c r="F917" s="160"/>
      <c r="G917" s="156"/>
    </row>
    <row r="918" spans="1:7">
      <c r="A918" s="155"/>
      <c r="B918" s="156"/>
      <c r="C918" s="157"/>
      <c r="D918" s="158"/>
      <c r="E918" s="159"/>
      <c r="F918" s="160"/>
      <c r="G918" s="156"/>
    </row>
    <row r="919" spans="1:7">
      <c r="A919" s="155"/>
      <c r="B919" s="156"/>
      <c r="C919" s="157"/>
      <c r="D919" s="158"/>
      <c r="E919" s="159"/>
      <c r="F919" s="160"/>
      <c r="G919" s="156"/>
    </row>
    <row r="920" spans="1:7">
      <c r="A920" s="155"/>
      <c r="B920" s="156"/>
      <c r="C920" s="157"/>
      <c r="D920" s="158"/>
      <c r="E920" s="159"/>
      <c r="F920" s="160"/>
      <c r="G920" s="156"/>
    </row>
    <row r="921" spans="1:7">
      <c r="A921" s="155"/>
      <c r="B921" s="156"/>
      <c r="C921" s="157"/>
      <c r="D921" s="158"/>
      <c r="E921" s="159"/>
      <c r="F921" s="160"/>
      <c r="G921" s="156"/>
    </row>
    <row r="922" spans="1:7">
      <c r="A922" s="155"/>
      <c r="B922" s="156"/>
      <c r="C922" s="157"/>
      <c r="D922" s="158"/>
      <c r="E922" s="159"/>
      <c r="F922" s="160"/>
      <c r="G922" s="156"/>
    </row>
    <row r="923" spans="1:7">
      <c r="A923" s="155"/>
      <c r="B923" s="156"/>
      <c r="C923" s="157"/>
      <c r="D923" s="158"/>
      <c r="E923" s="159"/>
      <c r="F923" s="160"/>
      <c r="G923" s="156"/>
    </row>
    <row r="924" spans="1:7">
      <c r="A924" s="155"/>
      <c r="B924" s="156"/>
      <c r="C924" s="157"/>
      <c r="D924" s="158"/>
      <c r="E924" s="159"/>
      <c r="F924" s="160"/>
      <c r="G924" s="156"/>
    </row>
    <row r="925" spans="1:7">
      <c r="A925" s="155"/>
      <c r="B925" s="156"/>
      <c r="C925" s="157"/>
      <c r="D925" s="158"/>
      <c r="E925" s="159"/>
      <c r="F925" s="160"/>
      <c r="G925" s="156"/>
    </row>
    <row r="926" spans="1:7">
      <c r="A926" s="155"/>
      <c r="B926" s="156"/>
      <c r="C926" s="157"/>
      <c r="D926" s="158"/>
      <c r="E926" s="159"/>
      <c r="F926" s="160"/>
      <c r="G926" s="156"/>
    </row>
    <row r="927" spans="1:7">
      <c r="A927" s="155"/>
      <c r="B927" s="156"/>
      <c r="C927" s="157"/>
      <c r="D927" s="158"/>
      <c r="E927" s="159"/>
      <c r="F927" s="160"/>
      <c r="G927" s="156"/>
    </row>
    <row r="928" spans="1:7">
      <c r="A928" s="155"/>
      <c r="B928" s="156"/>
      <c r="C928" s="157"/>
      <c r="D928" s="158"/>
      <c r="E928" s="159"/>
      <c r="F928" s="160"/>
      <c r="G928" s="156"/>
    </row>
    <row r="929" spans="1:7">
      <c r="A929" s="155"/>
      <c r="B929" s="156"/>
      <c r="C929" s="157"/>
      <c r="D929" s="158"/>
      <c r="E929" s="159"/>
      <c r="F929" s="160"/>
      <c r="G929" s="156"/>
    </row>
    <row r="930" spans="1:7">
      <c r="A930" s="155"/>
      <c r="B930" s="156"/>
      <c r="C930" s="157"/>
      <c r="D930" s="158"/>
      <c r="E930" s="159"/>
      <c r="F930" s="160"/>
      <c r="G930" s="156"/>
    </row>
    <row r="931" spans="1:7">
      <c r="A931" s="155"/>
      <c r="B931" s="156"/>
      <c r="C931" s="157"/>
      <c r="D931" s="158"/>
      <c r="E931" s="159"/>
      <c r="F931" s="160"/>
      <c r="G931" s="156"/>
    </row>
    <row r="932" spans="1:7">
      <c r="A932" s="155"/>
      <c r="B932" s="156"/>
      <c r="C932" s="157"/>
      <c r="D932" s="158"/>
      <c r="E932" s="159"/>
      <c r="F932" s="160"/>
      <c r="G932" s="156"/>
    </row>
    <row r="933" spans="1:7">
      <c r="A933" s="155"/>
      <c r="B933" s="156"/>
      <c r="C933" s="157"/>
      <c r="D933" s="158"/>
      <c r="E933" s="159"/>
      <c r="F933" s="160"/>
      <c r="G933" s="156"/>
    </row>
    <row r="934" spans="1:7">
      <c r="A934" s="155"/>
      <c r="B934" s="156"/>
      <c r="C934" s="157"/>
      <c r="D934" s="158"/>
      <c r="E934" s="159"/>
      <c r="F934" s="160"/>
      <c r="G934" s="156"/>
    </row>
    <row r="935" spans="1:7">
      <c r="A935" s="155"/>
      <c r="B935" s="156"/>
      <c r="C935" s="157"/>
      <c r="D935" s="158"/>
      <c r="E935" s="159"/>
      <c r="F935" s="160"/>
      <c r="G935" s="156"/>
    </row>
    <row r="936" spans="1:7">
      <c r="A936" s="155"/>
      <c r="B936" s="156"/>
      <c r="C936" s="157"/>
      <c r="D936" s="158"/>
      <c r="E936" s="159"/>
      <c r="F936" s="160"/>
      <c r="G936" s="156"/>
    </row>
    <row r="937" spans="1:7">
      <c r="A937" s="155"/>
      <c r="B937" s="156"/>
      <c r="C937" s="157"/>
      <c r="D937" s="158"/>
      <c r="E937" s="159"/>
      <c r="F937" s="160"/>
      <c r="G937" s="156"/>
    </row>
    <row r="938" spans="1:7">
      <c r="A938" s="155"/>
      <c r="B938" s="156"/>
      <c r="C938" s="157"/>
      <c r="D938" s="158"/>
      <c r="E938" s="159"/>
      <c r="F938" s="160"/>
      <c r="G938" s="156"/>
    </row>
    <row r="939" spans="1:7">
      <c r="A939" s="155"/>
      <c r="B939" s="156"/>
      <c r="C939" s="157"/>
      <c r="D939" s="158"/>
      <c r="E939" s="159"/>
      <c r="F939" s="160"/>
      <c r="G939" s="156"/>
    </row>
    <row r="940" spans="1:7">
      <c r="A940" s="155"/>
      <c r="B940" s="156"/>
      <c r="C940" s="157"/>
      <c r="D940" s="158"/>
      <c r="E940" s="159"/>
      <c r="F940" s="160"/>
      <c r="G940" s="156"/>
    </row>
    <row r="941" spans="1:7">
      <c r="A941" s="155"/>
      <c r="B941" s="156"/>
      <c r="C941" s="157"/>
      <c r="D941" s="158"/>
      <c r="E941" s="159"/>
      <c r="F941" s="160"/>
      <c r="G941" s="156"/>
    </row>
    <row r="942" spans="1:7">
      <c r="A942" s="155"/>
      <c r="B942" s="156"/>
      <c r="C942" s="157"/>
      <c r="D942" s="158"/>
      <c r="E942" s="159"/>
      <c r="F942" s="160"/>
      <c r="G942" s="156"/>
    </row>
    <row r="943" spans="1:7">
      <c r="A943" s="155"/>
      <c r="B943" s="156"/>
      <c r="C943" s="157"/>
      <c r="D943" s="158"/>
      <c r="E943" s="159"/>
      <c r="F943" s="160"/>
      <c r="G943" s="156"/>
    </row>
    <row r="944" spans="1:7">
      <c r="A944" s="155"/>
      <c r="B944" s="156"/>
      <c r="C944" s="157"/>
      <c r="D944" s="158"/>
      <c r="E944" s="159"/>
      <c r="F944" s="160"/>
      <c r="G944" s="156"/>
    </row>
    <row r="945" spans="1:7">
      <c r="A945" s="155"/>
      <c r="B945" s="156"/>
      <c r="C945" s="157"/>
      <c r="D945" s="158"/>
      <c r="E945" s="159"/>
      <c r="F945" s="160"/>
      <c r="G945" s="156"/>
    </row>
    <row r="946" spans="1:7">
      <c r="A946" s="155"/>
      <c r="B946" s="156"/>
      <c r="C946" s="157"/>
      <c r="D946" s="158"/>
      <c r="E946" s="159"/>
      <c r="F946" s="160"/>
      <c r="G946" s="156"/>
    </row>
    <row r="947" spans="1:7">
      <c r="A947" s="155"/>
      <c r="B947" s="156"/>
      <c r="C947" s="157"/>
      <c r="D947" s="158"/>
      <c r="E947" s="159"/>
      <c r="F947" s="160"/>
      <c r="G947" s="156"/>
    </row>
    <row r="948" spans="1:7">
      <c r="A948" s="155"/>
      <c r="B948" s="156"/>
      <c r="C948" s="157"/>
      <c r="D948" s="158"/>
      <c r="E948" s="159"/>
      <c r="F948" s="160"/>
      <c r="G948" s="156"/>
    </row>
    <row r="949" spans="1:7">
      <c r="A949" s="155"/>
      <c r="B949" s="156"/>
      <c r="C949" s="157"/>
      <c r="D949" s="158"/>
      <c r="E949" s="159"/>
      <c r="F949" s="160"/>
      <c r="G949" s="156"/>
    </row>
    <row r="950" spans="1:7">
      <c r="A950" s="155"/>
      <c r="B950" s="156"/>
      <c r="C950" s="157"/>
      <c r="D950" s="158"/>
      <c r="E950" s="159"/>
      <c r="F950" s="160"/>
      <c r="G950" s="156"/>
    </row>
    <row r="951" spans="1:7">
      <c r="A951" s="155"/>
      <c r="B951" s="156"/>
      <c r="C951" s="157"/>
      <c r="D951" s="158"/>
      <c r="E951" s="159"/>
      <c r="F951" s="160"/>
      <c r="G951" s="156"/>
    </row>
    <row r="952" spans="1:7">
      <c r="A952" s="155"/>
      <c r="B952" s="156"/>
      <c r="C952" s="157"/>
      <c r="D952" s="158"/>
      <c r="E952" s="159"/>
      <c r="F952" s="160"/>
      <c r="G952" s="156"/>
    </row>
    <row r="953" spans="1:7">
      <c r="A953" s="155"/>
      <c r="B953" s="156"/>
      <c r="C953" s="157"/>
      <c r="D953" s="158"/>
      <c r="E953" s="159"/>
      <c r="F953" s="160"/>
      <c r="G953" s="156"/>
    </row>
    <row r="954" spans="1:7">
      <c r="A954" s="155"/>
      <c r="B954" s="156"/>
      <c r="C954" s="157"/>
      <c r="D954" s="158"/>
      <c r="E954" s="159"/>
      <c r="F954" s="160"/>
      <c r="G954" s="156"/>
    </row>
    <row r="955" spans="1:7">
      <c r="A955" s="155"/>
      <c r="B955" s="156"/>
      <c r="C955" s="157"/>
      <c r="D955" s="158"/>
      <c r="E955" s="159"/>
      <c r="F955" s="160"/>
      <c r="G955" s="156"/>
    </row>
    <row r="956" spans="1:7">
      <c r="A956" s="155"/>
      <c r="B956" s="156"/>
      <c r="C956" s="157"/>
      <c r="D956" s="158"/>
      <c r="E956" s="159"/>
      <c r="F956" s="160"/>
      <c r="G956" s="156"/>
    </row>
    <row r="957" spans="1:7">
      <c r="A957" s="155"/>
      <c r="B957" s="156"/>
      <c r="C957" s="157"/>
      <c r="D957" s="158"/>
      <c r="E957" s="159"/>
      <c r="F957" s="160"/>
      <c r="G957" s="156"/>
    </row>
    <row r="958" spans="1:7">
      <c r="A958" s="155"/>
      <c r="B958" s="156"/>
      <c r="C958" s="157"/>
      <c r="D958" s="158"/>
      <c r="E958" s="159"/>
      <c r="F958" s="160"/>
      <c r="G958" s="156"/>
    </row>
    <row r="959" spans="1:7">
      <c r="A959" s="155"/>
      <c r="B959" s="156"/>
      <c r="C959" s="157"/>
      <c r="D959" s="158"/>
      <c r="E959" s="159"/>
      <c r="F959" s="160"/>
      <c r="G959" s="156"/>
    </row>
    <row r="960" spans="1:7">
      <c r="A960" s="155"/>
      <c r="B960" s="156"/>
      <c r="C960" s="157"/>
      <c r="D960" s="158"/>
      <c r="E960" s="159"/>
      <c r="F960" s="160"/>
      <c r="G960" s="156"/>
    </row>
    <row r="961" spans="1:7">
      <c r="A961" s="155"/>
      <c r="B961" s="156"/>
      <c r="C961" s="157"/>
      <c r="D961" s="158"/>
      <c r="E961" s="159"/>
      <c r="F961" s="160"/>
      <c r="G961" s="156"/>
    </row>
    <row r="962" spans="1:7">
      <c r="A962" s="155"/>
      <c r="B962" s="156"/>
      <c r="C962" s="157"/>
      <c r="D962" s="158"/>
      <c r="E962" s="159"/>
      <c r="F962" s="160"/>
      <c r="G962" s="156"/>
    </row>
    <row r="963" spans="1:7">
      <c r="A963" s="155"/>
      <c r="B963" s="156"/>
      <c r="C963" s="157"/>
      <c r="D963" s="158"/>
      <c r="E963" s="159"/>
      <c r="F963" s="160"/>
      <c r="G963" s="156"/>
    </row>
    <row r="964" spans="1:7">
      <c r="A964" s="155"/>
      <c r="B964" s="156"/>
      <c r="C964" s="157"/>
      <c r="D964" s="158"/>
      <c r="E964" s="159"/>
      <c r="F964" s="160"/>
      <c r="G964" s="156"/>
    </row>
    <row r="965" spans="1:7">
      <c r="A965" s="155"/>
      <c r="B965" s="156"/>
      <c r="C965" s="157"/>
      <c r="D965" s="158"/>
      <c r="E965" s="159"/>
      <c r="F965" s="160"/>
      <c r="G965" s="156"/>
    </row>
    <row r="966" spans="1:7">
      <c r="A966" s="155"/>
      <c r="B966" s="156"/>
      <c r="C966" s="157"/>
      <c r="D966" s="158"/>
      <c r="E966" s="159"/>
      <c r="F966" s="160"/>
      <c r="G966" s="156"/>
    </row>
    <row r="967" spans="1:7">
      <c r="A967" s="155"/>
      <c r="B967" s="156"/>
      <c r="C967" s="157"/>
      <c r="D967" s="158"/>
      <c r="E967" s="159"/>
      <c r="F967" s="160"/>
      <c r="G967" s="156"/>
    </row>
    <row r="968" spans="1:7">
      <c r="A968" s="155"/>
      <c r="B968" s="156"/>
      <c r="C968" s="157"/>
      <c r="D968" s="158"/>
      <c r="E968" s="159"/>
      <c r="F968" s="160"/>
      <c r="G968" s="156"/>
    </row>
    <row r="969" spans="1:7">
      <c r="A969" s="155"/>
      <c r="B969" s="156"/>
      <c r="C969" s="157"/>
      <c r="D969" s="158"/>
      <c r="E969" s="159"/>
      <c r="F969" s="160"/>
      <c r="G969" s="156"/>
    </row>
    <row r="970" spans="1:7">
      <c r="A970" s="155"/>
      <c r="B970" s="156"/>
      <c r="C970" s="157"/>
      <c r="D970" s="158"/>
      <c r="E970" s="159"/>
      <c r="F970" s="160"/>
      <c r="G970" s="156"/>
    </row>
    <row r="971" spans="1:7">
      <c r="A971" s="155"/>
      <c r="B971" s="156"/>
      <c r="C971" s="157"/>
      <c r="D971" s="158"/>
      <c r="E971" s="159"/>
      <c r="F971" s="160"/>
      <c r="G971" s="156"/>
    </row>
    <row r="972" spans="1:7">
      <c r="A972" s="155"/>
      <c r="B972" s="156"/>
      <c r="C972" s="157"/>
      <c r="D972" s="158"/>
      <c r="E972" s="159"/>
      <c r="F972" s="160"/>
      <c r="G972" s="156"/>
    </row>
    <row r="973" spans="1:7">
      <c r="A973" s="155"/>
      <c r="B973" s="156"/>
      <c r="C973" s="157"/>
      <c r="D973" s="158"/>
      <c r="E973" s="159"/>
      <c r="F973" s="160"/>
      <c r="G973" s="156"/>
    </row>
    <row r="974" spans="1:7">
      <c r="A974" s="155"/>
      <c r="B974" s="156"/>
      <c r="C974" s="157"/>
      <c r="D974" s="158"/>
      <c r="E974" s="159"/>
      <c r="F974" s="160"/>
      <c r="G974" s="156"/>
    </row>
    <row r="975" spans="1:7">
      <c r="A975" s="155"/>
      <c r="B975" s="156"/>
      <c r="C975" s="157"/>
      <c r="D975" s="158"/>
      <c r="E975" s="159"/>
      <c r="F975" s="160"/>
      <c r="G975" s="156"/>
    </row>
    <row r="976" spans="1:7">
      <c r="A976" s="155"/>
      <c r="B976" s="156"/>
      <c r="C976" s="157"/>
      <c r="D976" s="158"/>
      <c r="E976" s="159"/>
      <c r="F976" s="160"/>
      <c r="G976" s="156"/>
    </row>
    <row r="977" spans="1:7">
      <c r="A977" s="155"/>
      <c r="B977" s="156"/>
      <c r="C977" s="157"/>
      <c r="D977" s="158"/>
      <c r="E977" s="159"/>
      <c r="F977" s="160"/>
      <c r="G977" s="156"/>
    </row>
    <row r="978" spans="1:7">
      <c r="A978" s="155"/>
      <c r="B978" s="156"/>
      <c r="C978" s="157"/>
      <c r="D978" s="158"/>
      <c r="E978" s="159"/>
      <c r="F978" s="160"/>
      <c r="G978" s="156"/>
    </row>
    <row r="979" spans="1:7">
      <c r="A979" s="155"/>
      <c r="B979" s="156"/>
      <c r="C979" s="157"/>
      <c r="D979" s="158"/>
      <c r="E979" s="159"/>
      <c r="F979" s="160"/>
      <c r="G979" s="156"/>
    </row>
    <row r="980" spans="1:7">
      <c r="A980" s="155"/>
      <c r="B980" s="156"/>
      <c r="C980" s="157"/>
      <c r="D980" s="158"/>
      <c r="E980" s="159"/>
      <c r="F980" s="160"/>
      <c r="G980" s="156"/>
    </row>
    <row r="981" spans="1:7">
      <c r="A981" s="155"/>
      <c r="B981" s="156"/>
      <c r="C981" s="157"/>
      <c r="D981" s="158"/>
      <c r="E981" s="159"/>
      <c r="F981" s="160"/>
      <c r="G981" s="156"/>
    </row>
    <row r="982" spans="1:7">
      <c r="A982" s="155"/>
      <c r="B982" s="156"/>
      <c r="C982" s="157"/>
      <c r="D982" s="158"/>
      <c r="E982" s="159"/>
      <c r="F982" s="160"/>
      <c r="G982" s="156"/>
    </row>
    <row r="983" spans="1:7">
      <c r="A983" s="155"/>
      <c r="B983" s="156"/>
      <c r="C983" s="157"/>
      <c r="D983" s="158"/>
      <c r="E983" s="159"/>
      <c r="F983" s="160"/>
      <c r="G983" s="156"/>
    </row>
    <row r="984" spans="1:7">
      <c r="A984" s="155"/>
      <c r="B984" s="156"/>
      <c r="C984" s="157"/>
      <c r="D984" s="158"/>
      <c r="E984" s="159"/>
      <c r="F984" s="160"/>
      <c r="G984" s="156"/>
    </row>
    <row r="985" spans="1:7">
      <c r="A985" s="155"/>
      <c r="B985" s="156"/>
      <c r="C985" s="157"/>
      <c r="D985" s="158"/>
      <c r="E985" s="159"/>
      <c r="F985" s="160"/>
      <c r="G985" s="156"/>
    </row>
    <row r="986" spans="1:7">
      <c r="A986" s="155"/>
      <c r="B986" s="156"/>
      <c r="C986" s="157"/>
      <c r="D986" s="158"/>
      <c r="E986" s="159"/>
      <c r="F986" s="160"/>
      <c r="G986" s="156"/>
    </row>
    <row r="987" spans="1:7">
      <c r="A987" s="155"/>
      <c r="B987" s="156"/>
      <c r="C987" s="157"/>
      <c r="D987" s="158"/>
      <c r="E987" s="159"/>
      <c r="F987" s="160"/>
      <c r="G987" s="156"/>
    </row>
    <row r="988" spans="1:7">
      <c r="A988" s="155"/>
      <c r="B988" s="156"/>
      <c r="C988" s="157"/>
      <c r="D988" s="158"/>
      <c r="E988" s="159"/>
      <c r="F988" s="160"/>
      <c r="G988" s="156"/>
    </row>
    <row r="989" spans="1:7">
      <c r="A989" s="155"/>
      <c r="B989" s="156"/>
      <c r="C989" s="157"/>
      <c r="D989" s="158"/>
      <c r="E989" s="159"/>
      <c r="F989" s="160"/>
      <c r="G989" s="156"/>
    </row>
    <row r="990" spans="1:7">
      <c r="A990" s="155"/>
      <c r="B990" s="156"/>
      <c r="C990" s="157"/>
      <c r="D990" s="158"/>
      <c r="E990" s="159"/>
      <c r="F990" s="160"/>
      <c r="G990" s="156"/>
    </row>
    <row r="991" spans="1:7">
      <c r="A991" s="155"/>
      <c r="B991" s="156"/>
      <c r="C991" s="157"/>
      <c r="D991" s="158"/>
      <c r="E991" s="159"/>
      <c r="F991" s="160"/>
      <c r="G991" s="156"/>
    </row>
    <row r="992" spans="1:7">
      <c r="A992" s="155"/>
      <c r="B992" s="156"/>
      <c r="C992" s="157"/>
      <c r="D992" s="158"/>
      <c r="E992" s="159"/>
      <c r="F992" s="160"/>
      <c r="G992" s="156"/>
    </row>
    <row r="993" spans="1:7">
      <c r="A993" s="155"/>
      <c r="B993" s="156"/>
      <c r="C993" s="157"/>
      <c r="D993" s="158"/>
      <c r="E993" s="159"/>
      <c r="F993" s="160"/>
      <c r="G993" s="156"/>
    </row>
    <row r="994" spans="1:7">
      <c r="A994" s="155"/>
      <c r="B994" s="156"/>
      <c r="C994" s="157"/>
      <c r="D994" s="158"/>
      <c r="E994" s="159"/>
      <c r="F994" s="160"/>
      <c r="G994" s="156"/>
    </row>
    <row r="995" spans="1:7">
      <c r="A995" s="155"/>
      <c r="B995" s="156"/>
      <c r="C995" s="157"/>
      <c r="D995" s="158"/>
      <c r="E995" s="159"/>
      <c r="F995" s="160"/>
      <c r="G995" s="156"/>
    </row>
    <row r="996" spans="1:7">
      <c r="A996" s="155"/>
      <c r="B996" s="156"/>
      <c r="C996" s="157"/>
      <c r="D996" s="158"/>
      <c r="E996" s="159"/>
      <c r="F996" s="160"/>
      <c r="G996" s="156"/>
    </row>
    <row r="997" spans="1:7">
      <c r="A997" s="155"/>
      <c r="B997" s="156"/>
      <c r="C997" s="157"/>
      <c r="D997" s="158"/>
      <c r="E997" s="159"/>
      <c r="F997" s="160"/>
      <c r="G997" s="156"/>
    </row>
    <row r="998" spans="1:7">
      <c r="A998" s="155"/>
      <c r="B998" s="156"/>
      <c r="C998" s="157"/>
      <c r="D998" s="158"/>
      <c r="E998" s="159"/>
      <c r="F998" s="160"/>
      <c r="G998" s="156"/>
    </row>
    <row r="999" spans="1:7">
      <c r="A999" s="155"/>
      <c r="B999" s="156"/>
      <c r="C999" s="157"/>
      <c r="D999" s="158"/>
      <c r="E999" s="159"/>
      <c r="F999" s="160"/>
      <c r="G999" s="156"/>
    </row>
    <row r="1000" spans="1:7">
      <c r="A1000" s="155"/>
      <c r="B1000" s="156"/>
      <c r="C1000" s="157"/>
      <c r="D1000" s="158"/>
      <c r="E1000" s="159"/>
      <c r="F1000" s="160"/>
      <c r="G1000" s="156"/>
    </row>
    <row r="1001" spans="1:7">
      <c r="A1001" s="155"/>
      <c r="B1001" s="156"/>
      <c r="C1001" s="157"/>
      <c r="D1001" s="158"/>
      <c r="E1001" s="159"/>
      <c r="F1001" s="160"/>
      <c r="G1001" s="156"/>
    </row>
    <row r="1002" spans="1:7">
      <c r="A1002" s="155"/>
      <c r="B1002" s="156"/>
      <c r="C1002" s="157"/>
      <c r="D1002" s="158"/>
      <c r="E1002" s="159"/>
      <c r="F1002" s="160"/>
      <c r="G1002" s="156"/>
    </row>
    <row r="1003" spans="1:7">
      <c r="A1003" s="155"/>
      <c r="B1003" s="156"/>
      <c r="C1003" s="157"/>
      <c r="D1003" s="158"/>
      <c r="E1003" s="159"/>
      <c r="F1003" s="160"/>
      <c r="G1003" s="156"/>
    </row>
    <row r="1004" spans="1:7">
      <c r="A1004" s="155"/>
      <c r="B1004" s="156"/>
      <c r="C1004" s="157"/>
      <c r="D1004" s="158"/>
      <c r="E1004" s="159"/>
      <c r="F1004" s="160"/>
      <c r="G1004" s="156"/>
    </row>
    <row r="1005" spans="1:7">
      <c r="A1005" s="155"/>
      <c r="B1005" s="156"/>
      <c r="C1005" s="157"/>
      <c r="D1005" s="158"/>
      <c r="E1005" s="159"/>
      <c r="F1005" s="160"/>
      <c r="G1005" s="156"/>
    </row>
    <row r="1006" spans="1:7">
      <c r="A1006" s="155"/>
      <c r="B1006" s="156"/>
      <c r="C1006" s="157"/>
      <c r="D1006" s="158"/>
      <c r="E1006" s="159"/>
      <c r="F1006" s="160"/>
      <c r="G1006" s="156"/>
    </row>
    <row r="1007" spans="1:7">
      <c r="A1007" s="155"/>
      <c r="B1007" s="156"/>
      <c r="C1007" s="157"/>
      <c r="D1007" s="158"/>
      <c r="E1007" s="159"/>
      <c r="F1007" s="160"/>
      <c r="G1007" s="156"/>
    </row>
    <row r="1008" spans="1:7">
      <c r="A1008" s="155"/>
      <c r="B1008" s="156"/>
      <c r="C1008" s="157"/>
      <c r="D1008" s="158"/>
      <c r="E1008" s="159"/>
      <c r="F1008" s="160"/>
      <c r="G1008" s="156"/>
    </row>
    <row r="1009" spans="1:7">
      <c r="A1009" s="155"/>
      <c r="B1009" s="156"/>
      <c r="C1009" s="157"/>
      <c r="D1009" s="158"/>
      <c r="E1009" s="159"/>
      <c r="F1009" s="160"/>
      <c r="G1009" s="156"/>
    </row>
    <row r="1010" spans="1:7">
      <c r="A1010" s="155"/>
      <c r="B1010" s="156"/>
      <c r="C1010" s="157"/>
      <c r="D1010" s="158"/>
      <c r="E1010" s="159"/>
      <c r="F1010" s="160"/>
      <c r="G1010" s="156"/>
    </row>
  </sheetData>
  <sheetProtection formatCells="0" formatColumns="0" formatRows="0"/>
  <sortState ref="A2:C12">
    <sortCondition ref="A2:A12"/>
  </sortState>
  <dataValidations count="2">
    <dataValidation type="decimal" operator="greaterThanOrEqual" allowBlank="1" showInputMessage="1" showErrorMessage="1" sqref="D7:D9 D2:D4 D11:D15 D71:D1048576 D17:D69">
      <formula1>0</formula1>
    </dataValidation>
    <dataValidation type="decimal" allowBlank="1" showInputMessage="1" showErrorMessage="1" sqref="F2:G1048576 E2:E69 E71:E1048576">
      <formula1>0</formula1>
      <formula2>100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2"/>
  <dimension ref="A1:R24"/>
  <sheetViews>
    <sheetView zoomScale="110" zoomScaleNormal="110" workbookViewId="0">
      <selection activeCell="A5" sqref="A5"/>
    </sheetView>
  </sheetViews>
  <sheetFormatPr baseColWidth="10" defaultColWidth="11.42578125" defaultRowHeight="15"/>
  <cols>
    <col min="1" max="1" width="21" style="140" customWidth="1"/>
    <col min="2" max="2" width="35.140625" style="140" customWidth="1"/>
    <col min="3" max="3" width="13.7109375" style="140" customWidth="1"/>
    <col min="4" max="4" width="23.85546875" style="140" bestFit="1" customWidth="1"/>
    <col min="5" max="5" width="16.7109375" style="140" customWidth="1"/>
    <col min="6" max="6" width="15.42578125" style="140" customWidth="1"/>
    <col min="7" max="7" width="11.28515625" style="140" bestFit="1" customWidth="1"/>
    <col min="8" max="8" width="20.28515625" style="140" customWidth="1"/>
    <col min="9" max="9" width="32.28515625" style="140" customWidth="1"/>
    <col min="10" max="10" width="21.42578125" style="140" customWidth="1"/>
    <col min="11" max="12" width="14.5703125" style="140" customWidth="1"/>
    <col min="13" max="13" width="6" style="140" customWidth="1"/>
    <col min="14" max="16384" width="11.42578125" style="140"/>
  </cols>
  <sheetData>
    <row r="1" spans="1:18" ht="16.5" thickTop="1" thickBot="1">
      <c r="A1" s="138" t="s">
        <v>48</v>
      </c>
      <c r="B1" s="138" t="s">
        <v>53</v>
      </c>
      <c r="C1" s="138" t="s">
        <v>8</v>
      </c>
      <c r="D1" s="138" t="s">
        <v>5</v>
      </c>
      <c r="E1" s="138" t="s">
        <v>6</v>
      </c>
      <c r="F1" s="138" t="s">
        <v>9</v>
      </c>
      <c r="G1" s="138" t="s">
        <v>10</v>
      </c>
      <c r="H1" s="138" t="s">
        <v>7</v>
      </c>
      <c r="I1" s="138" t="s">
        <v>11</v>
      </c>
      <c r="J1" s="138" t="s">
        <v>85</v>
      </c>
      <c r="K1" s="138" t="s">
        <v>84</v>
      </c>
      <c r="L1" s="138" t="s">
        <v>83</v>
      </c>
      <c r="M1" s="138" t="s">
        <v>59</v>
      </c>
    </row>
    <row r="2" spans="1:18" ht="15.75" thickTop="1">
      <c r="A2" s="140" t="s">
        <v>103</v>
      </c>
      <c r="B2" s="140" t="s">
        <v>238</v>
      </c>
      <c r="D2" s="166"/>
      <c r="E2" s="140" t="s">
        <v>125</v>
      </c>
      <c r="F2" s="140" t="s">
        <v>126</v>
      </c>
      <c r="G2" s="140" t="s">
        <v>127</v>
      </c>
      <c r="H2" s="140" t="s">
        <v>128</v>
      </c>
      <c r="J2" s="140" t="s">
        <v>129</v>
      </c>
      <c r="K2" s="140" t="s">
        <v>102</v>
      </c>
      <c r="L2" s="167" t="s">
        <v>100</v>
      </c>
      <c r="M2" s="140" t="s">
        <v>130</v>
      </c>
    </row>
    <row r="3" spans="1:18">
      <c r="A3" s="140" t="s">
        <v>104</v>
      </c>
      <c r="B3" s="140" t="s">
        <v>239</v>
      </c>
      <c r="E3" s="140" t="s">
        <v>240</v>
      </c>
      <c r="F3" s="140" t="s">
        <v>241</v>
      </c>
      <c r="G3" s="140" t="s">
        <v>242</v>
      </c>
      <c r="H3" s="140" t="s">
        <v>243</v>
      </c>
      <c r="J3" s="140" t="s">
        <v>244</v>
      </c>
      <c r="K3" s="140" t="s">
        <v>245</v>
      </c>
      <c r="L3" s="140" t="s">
        <v>226</v>
      </c>
    </row>
    <row r="4" spans="1:18">
      <c r="B4" s="140" t="s">
        <v>265</v>
      </c>
      <c r="E4" s="140" t="s">
        <v>262</v>
      </c>
      <c r="F4" s="140" t="s">
        <v>263</v>
      </c>
      <c r="G4" s="140" t="s">
        <v>264</v>
      </c>
      <c r="H4" s="140" t="s">
        <v>266</v>
      </c>
      <c r="L4" s="140" t="s">
        <v>226</v>
      </c>
      <c r="P4" s="141"/>
      <c r="Q4" s="141"/>
      <c r="R4" s="141"/>
    </row>
    <row r="5" spans="1:18">
      <c r="A5" s="140" t="s">
        <v>280</v>
      </c>
      <c r="B5" s="140" t="s">
        <v>281</v>
      </c>
      <c r="E5" s="140" t="s">
        <v>282</v>
      </c>
      <c r="F5" s="140" t="s">
        <v>283</v>
      </c>
      <c r="G5" s="140" t="s">
        <v>284</v>
      </c>
      <c r="H5" s="140" t="s">
        <v>285</v>
      </c>
      <c r="J5" s="140" t="s">
        <v>286</v>
      </c>
      <c r="K5" s="140" t="s">
        <v>288</v>
      </c>
      <c r="L5" s="140" t="s">
        <v>287</v>
      </c>
      <c r="M5" s="140" t="s">
        <v>105</v>
      </c>
    </row>
    <row r="6" spans="1:18">
      <c r="A6" s="168"/>
    </row>
    <row r="7" spans="1:18">
      <c r="A7" s="168"/>
    </row>
    <row r="8" spans="1:18">
      <c r="A8" s="168"/>
    </row>
    <row r="24" spans="3:18">
      <c r="C24" s="141"/>
      <c r="D24" s="141"/>
      <c r="I24" s="141"/>
      <c r="P24" s="141"/>
      <c r="Q24" s="141"/>
      <c r="R24" s="14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3"/>
  <dimension ref="A1:V60"/>
  <sheetViews>
    <sheetView topLeftCell="A10" zoomScale="80" zoomScaleNormal="80" workbookViewId="0">
      <selection activeCell="L24" sqref="L24:M24"/>
    </sheetView>
  </sheetViews>
  <sheetFormatPr baseColWidth="10" defaultRowHeight="15"/>
  <cols>
    <col min="1" max="1" width="14.140625" style="8" customWidth="1"/>
    <col min="2" max="2" width="14.140625" style="57" customWidth="1"/>
    <col min="3" max="3" width="11.42578125" style="8"/>
    <col min="4" max="5" width="9.42578125" style="57" customWidth="1"/>
    <col min="6" max="6" width="11.42578125" style="10"/>
    <col min="7" max="7" width="11.85546875" style="5" bestFit="1" customWidth="1"/>
    <col min="8" max="8" width="5" style="5" customWidth="1"/>
    <col min="9" max="9" width="11.42578125" style="2"/>
    <col min="10" max="10" width="17.85546875" style="2" customWidth="1"/>
    <col min="11" max="11" width="10.7109375" style="2" customWidth="1"/>
    <col min="12" max="12" width="17.85546875" style="2" customWidth="1"/>
    <col min="13" max="13" width="16.5703125" style="2" customWidth="1"/>
    <col min="14" max="14" width="11.42578125" style="2"/>
    <col min="15" max="18" width="11.85546875" style="2" bestFit="1" customWidth="1"/>
    <col min="19" max="16384" width="11.42578125" style="2"/>
  </cols>
  <sheetData>
    <row r="1" spans="1:22" ht="15.75" thickBot="1">
      <c r="A1" s="257" t="s">
        <v>16</v>
      </c>
      <c r="B1" s="258"/>
      <c r="C1" s="258"/>
      <c r="D1" s="258"/>
      <c r="E1" s="258"/>
      <c r="F1" s="258"/>
      <c r="G1" s="258"/>
      <c r="H1" s="259"/>
      <c r="J1" s="263" t="s">
        <v>45</v>
      </c>
      <c r="K1" s="264"/>
      <c r="L1" s="15"/>
      <c r="M1" s="116" t="s">
        <v>124</v>
      </c>
      <c r="N1" s="117"/>
      <c r="O1" s="59"/>
      <c r="P1" s="145" t="s">
        <v>77</v>
      </c>
      <c r="Q1" s="144"/>
      <c r="R1" s="146">
        <v>1</v>
      </c>
      <c r="T1" s="2" t="s">
        <v>115</v>
      </c>
      <c r="U1" s="2" t="s">
        <v>108</v>
      </c>
      <c r="V1" s="144" t="s">
        <v>107</v>
      </c>
    </row>
    <row r="2" spans="1:22" ht="15.75" thickBot="1">
      <c r="A2" s="147" t="s">
        <v>21</v>
      </c>
      <c r="B2" s="267" t="s">
        <v>254</v>
      </c>
      <c r="C2" s="267"/>
      <c r="D2" s="267"/>
      <c r="E2" s="267"/>
      <c r="F2" s="267"/>
      <c r="G2" s="267"/>
      <c r="H2" s="148"/>
      <c r="J2" s="58" t="s">
        <v>4</v>
      </c>
      <c r="K2" s="1">
        <v>0</v>
      </c>
      <c r="L2" s="15"/>
      <c r="M2" s="269" t="s">
        <v>252</v>
      </c>
      <c r="N2" s="269"/>
      <c r="O2" s="143"/>
      <c r="P2" s="145" t="s">
        <v>78</v>
      </c>
      <c r="Q2" s="144"/>
      <c r="R2" s="146">
        <v>2</v>
      </c>
      <c r="T2" s="2" t="s">
        <v>116</v>
      </c>
      <c r="U2" s="2" t="s">
        <v>107</v>
      </c>
    </row>
    <row r="3" spans="1:22" ht="15.75" thickBot="1">
      <c r="A3" s="147" t="s">
        <v>22</v>
      </c>
      <c r="B3" s="268" t="s">
        <v>255</v>
      </c>
      <c r="C3" s="245"/>
      <c r="D3" s="245"/>
      <c r="E3" s="245"/>
      <c r="F3" s="245"/>
      <c r="G3" s="245"/>
      <c r="H3" s="246"/>
      <c r="J3" s="58" t="s">
        <v>46</v>
      </c>
      <c r="K3" s="1">
        <v>0</v>
      </c>
      <c r="L3" s="15"/>
      <c r="M3" s="11"/>
      <c r="N3" s="15"/>
      <c r="O3" s="15"/>
      <c r="P3" s="145" t="s">
        <v>79</v>
      </c>
      <c r="Q3" s="144"/>
      <c r="R3" s="146">
        <v>1</v>
      </c>
    </row>
    <row r="4" spans="1:22" ht="15.75" thickBot="1">
      <c r="A4" s="257" t="s">
        <v>17</v>
      </c>
      <c r="B4" s="258"/>
      <c r="C4" s="258"/>
      <c r="D4" s="258"/>
      <c r="E4" s="258"/>
      <c r="F4" s="258"/>
      <c r="G4" s="258"/>
      <c r="H4" s="259"/>
      <c r="J4" s="15"/>
      <c r="K4" s="15"/>
      <c r="L4" s="15"/>
      <c r="M4" s="278" t="s">
        <v>131</v>
      </c>
      <c r="N4" s="278"/>
      <c r="O4" s="15"/>
      <c r="P4" s="145" t="s">
        <v>33</v>
      </c>
      <c r="Q4" s="144"/>
      <c r="R4" s="146">
        <v>1</v>
      </c>
    </row>
    <row r="5" spans="1:22" ht="15.75" thickBot="1">
      <c r="A5" s="147" t="s">
        <v>21</v>
      </c>
      <c r="B5" s="267" t="s">
        <v>256</v>
      </c>
      <c r="C5" s="267"/>
      <c r="D5" s="267"/>
      <c r="E5" s="267"/>
      <c r="F5" s="267"/>
      <c r="G5" s="267"/>
      <c r="H5" s="148"/>
      <c r="J5" s="266" t="s">
        <v>32</v>
      </c>
      <c r="K5" s="265"/>
      <c r="L5" s="15"/>
      <c r="M5" s="279" t="s">
        <v>132</v>
      </c>
      <c r="N5" s="280"/>
      <c r="O5" s="15"/>
      <c r="P5" s="145" t="s">
        <v>34</v>
      </c>
      <c r="Q5" s="144"/>
      <c r="R5" s="146">
        <v>1</v>
      </c>
    </row>
    <row r="6" spans="1:22" ht="15.75" thickBot="1">
      <c r="A6" s="147" t="s">
        <v>18</v>
      </c>
      <c r="B6" s="244" t="s">
        <v>257</v>
      </c>
      <c r="C6" s="245"/>
      <c r="D6" s="245"/>
      <c r="E6" s="245"/>
      <c r="F6" s="245"/>
      <c r="G6" s="245"/>
      <c r="H6" s="246"/>
      <c r="J6" s="15"/>
      <c r="K6" s="15"/>
      <c r="L6" s="15"/>
      <c r="M6" s="11"/>
      <c r="N6" s="15"/>
      <c r="O6" s="15"/>
    </row>
    <row r="7" spans="1:22" ht="15.75" thickBot="1">
      <c r="A7" s="147" t="s">
        <v>49</v>
      </c>
      <c r="B7" s="244" t="s">
        <v>258</v>
      </c>
      <c r="C7" s="245"/>
      <c r="D7" s="245"/>
      <c r="E7" s="245"/>
      <c r="F7" s="245"/>
      <c r="G7" s="245"/>
      <c r="H7" s="246"/>
      <c r="J7" s="15"/>
      <c r="K7" s="15"/>
      <c r="L7" s="15"/>
      <c r="M7" s="11"/>
      <c r="N7" s="15"/>
      <c r="O7" s="15"/>
    </row>
    <row r="8" spans="1:22" ht="15.75" thickBot="1">
      <c r="A8" s="147" t="s">
        <v>50</v>
      </c>
      <c r="B8" s="244" t="s">
        <v>259</v>
      </c>
      <c r="C8" s="245"/>
      <c r="D8" s="245"/>
      <c r="E8" s="245"/>
      <c r="F8" s="245"/>
      <c r="G8" s="245"/>
      <c r="H8" s="246"/>
      <c r="J8" s="15"/>
      <c r="K8" s="15"/>
      <c r="L8" s="15"/>
      <c r="M8" s="107"/>
      <c r="N8" s="15"/>
      <c r="O8" s="15"/>
    </row>
    <row r="9" spans="1:22" ht="15.75" thickBot="1">
      <c r="A9" s="257" t="s">
        <v>19</v>
      </c>
      <c r="B9" s="258"/>
      <c r="C9" s="258"/>
      <c r="D9" s="258"/>
      <c r="E9" s="258"/>
      <c r="F9" s="258"/>
      <c r="G9" s="258"/>
      <c r="H9" s="259"/>
      <c r="J9" s="15"/>
      <c r="K9" s="15"/>
      <c r="L9" s="15"/>
      <c r="M9" s="11"/>
      <c r="N9" s="15"/>
      <c r="O9" s="15"/>
    </row>
    <row r="10" spans="1:22" ht="15.75" thickBot="1">
      <c r="A10" s="147" t="s">
        <v>20</v>
      </c>
      <c r="B10" s="244" t="s">
        <v>246</v>
      </c>
      <c r="C10" s="245"/>
      <c r="D10" s="245"/>
      <c r="E10" s="245"/>
      <c r="F10" s="245"/>
      <c r="G10" s="245"/>
      <c r="H10" s="149"/>
      <c r="J10" s="15"/>
      <c r="K10" s="15"/>
      <c r="L10" s="15"/>
      <c r="M10" s="108"/>
      <c r="N10" s="15"/>
      <c r="O10" s="59"/>
      <c r="P10" s="11"/>
      <c r="Q10" s="11"/>
      <c r="R10" s="11"/>
      <c r="S10" s="11"/>
      <c r="T10" s="11"/>
    </row>
    <row r="11" spans="1:22" ht="15.75" thickBot="1">
      <c r="A11" s="257" t="s">
        <v>12</v>
      </c>
      <c r="B11" s="258"/>
      <c r="C11" s="258"/>
      <c r="D11" s="258"/>
      <c r="E11" s="258"/>
      <c r="F11" s="258"/>
      <c r="G11" s="258"/>
      <c r="H11" s="259"/>
      <c r="J11" s="15"/>
      <c r="K11" s="15"/>
      <c r="L11" s="15"/>
      <c r="M11" s="15"/>
      <c r="N11" s="15"/>
      <c r="O11" s="59"/>
      <c r="P11" s="11"/>
      <c r="Q11" s="11"/>
      <c r="R11" s="11"/>
      <c r="S11" s="11"/>
      <c r="T11" s="11"/>
    </row>
    <row r="12" spans="1:22" ht="15.75" thickBot="1">
      <c r="A12" s="147" t="s">
        <v>25</v>
      </c>
      <c r="B12" s="250" t="s">
        <v>247</v>
      </c>
      <c r="C12" s="251"/>
      <c r="D12" s="251"/>
      <c r="E12" s="251"/>
      <c r="F12" s="251"/>
      <c r="G12" s="251"/>
      <c r="H12" s="252"/>
      <c r="J12" s="15"/>
      <c r="K12" s="15"/>
      <c r="L12" s="15"/>
      <c r="R12" s="11"/>
      <c r="S12" s="11"/>
      <c r="T12" s="11"/>
    </row>
    <row r="13" spans="1:22" ht="15.75" thickBot="1">
      <c r="A13" s="147" t="s">
        <v>23</v>
      </c>
      <c r="B13" s="250" t="s">
        <v>248</v>
      </c>
      <c r="C13" s="251"/>
      <c r="D13" s="251"/>
      <c r="E13" s="251"/>
      <c r="F13" s="251"/>
      <c r="G13" s="251"/>
      <c r="H13" s="252"/>
      <c r="J13" s="15"/>
      <c r="K13" s="15"/>
      <c r="L13" s="15"/>
      <c r="R13" s="11"/>
      <c r="S13" s="11"/>
      <c r="T13" s="11"/>
    </row>
    <row r="14" spans="1:22" ht="15.75" thickBot="1">
      <c r="A14" s="147" t="s">
        <v>24</v>
      </c>
      <c r="B14" s="250" t="s">
        <v>249</v>
      </c>
      <c r="C14" s="251"/>
      <c r="D14" s="251"/>
      <c r="E14" s="251"/>
      <c r="F14" s="251"/>
      <c r="G14" s="251"/>
      <c r="H14" s="252"/>
      <c r="J14" s="265" t="s">
        <v>47</v>
      </c>
      <c r="K14" s="265"/>
      <c r="L14" s="15"/>
      <c r="M14" s="15"/>
      <c r="N14" s="59"/>
      <c r="O14" s="59"/>
      <c r="P14" s="11"/>
      <c r="Q14" s="11"/>
      <c r="R14" s="11"/>
      <c r="S14" s="11"/>
      <c r="T14" s="11"/>
    </row>
    <row r="15" spans="1:22" ht="15.75" thickBot="1">
      <c r="A15" s="147" t="s">
        <v>13</v>
      </c>
      <c r="B15" s="250" t="s">
        <v>250</v>
      </c>
      <c r="C15" s="251"/>
      <c r="D15" s="251"/>
      <c r="E15" s="251"/>
      <c r="F15" s="251"/>
      <c r="G15" s="251"/>
      <c r="H15" s="252"/>
      <c r="J15" s="15"/>
      <c r="K15" s="15"/>
      <c r="L15" s="15"/>
      <c r="O15" s="59"/>
      <c r="P15" s="11"/>
      <c r="Q15" s="11"/>
      <c r="R15" s="11"/>
      <c r="S15" s="11"/>
      <c r="T15" s="11"/>
    </row>
    <row r="16" spans="1:22" ht="15.75" thickBot="1">
      <c r="A16" s="147" t="s">
        <v>14</v>
      </c>
      <c r="B16" s="250"/>
      <c r="C16" s="251"/>
      <c r="D16" s="251"/>
      <c r="E16" s="251"/>
      <c r="F16" s="251"/>
      <c r="G16" s="251"/>
      <c r="H16" s="252"/>
      <c r="J16" s="15"/>
      <c r="K16" s="15"/>
      <c r="L16" s="15"/>
      <c r="O16" s="59"/>
      <c r="P16" s="11"/>
      <c r="Q16" s="11"/>
      <c r="R16" s="11"/>
      <c r="S16" s="11"/>
      <c r="T16" s="11"/>
    </row>
    <row r="17" spans="1:21" ht="15.75" thickBot="1">
      <c r="A17" s="147" t="s">
        <v>15</v>
      </c>
      <c r="B17" s="250"/>
      <c r="C17" s="251"/>
      <c r="D17" s="251"/>
      <c r="E17" s="251"/>
      <c r="F17" s="251"/>
      <c r="G17" s="251"/>
      <c r="H17" s="252"/>
      <c r="J17" s="15"/>
      <c r="K17" s="15"/>
      <c r="L17" s="15"/>
      <c r="M17" s="15"/>
      <c r="N17" s="59"/>
      <c r="O17" s="59"/>
      <c r="P17" s="11"/>
      <c r="Q17" s="11"/>
      <c r="R17" s="11"/>
      <c r="S17" s="11"/>
      <c r="T17" s="11"/>
    </row>
    <row r="18" spans="1:21" ht="15.75" thickBot="1">
      <c r="A18" s="147" t="s">
        <v>26</v>
      </c>
      <c r="B18" s="250" t="s">
        <v>251</v>
      </c>
      <c r="C18" s="251"/>
      <c r="D18" s="251"/>
      <c r="E18" s="251"/>
      <c r="F18" s="251"/>
      <c r="G18" s="251"/>
      <c r="H18" s="252"/>
      <c r="J18" s="15"/>
      <c r="K18" s="15"/>
      <c r="L18" s="15"/>
      <c r="M18" s="15"/>
      <c r="N18" s="59"/>
      <c r="O18" s="59"/>
      <c r="P18" s="11"/>
      <c r="Q18" s="11"/>
      <c r="R18" s="11"/>
      <c r="S18" s="11"/>
      <c r="T18" s="11"/>
    </row>
    <row r="19" spans="1:21" ht="15.75" thickBot="1">
      <c r="A19" s="147" t="s">
        <v>27</v>
      </c>
      <c r="B19" s="250" t="s">
        <v>102</v>
      </c>
      <c r="C19" s="251"/>
      <c r="D19" s="251"/>
      <c r="E19" s="251"/>
      <c r="F19" s="251"/>
      <c r="G19" s="251"/>
      <c r="H19" s="252"/>
      <c r="J19" s="15"/>
      <c r="K19" s="15"/>
      <c r="L19" s="15"/>
      <c r="M19" s="15"/>
      <c r="N19" s="59"/>
      <c r="O19" s="59"/>
      <c r="P19" s="11"/>
      <c r="Q19" s="11"/>
      <c r="R19" s="11"/>
      <c r="S19" s="11"/>
      <c r="T19" s="11"/>
      <c r="U19" s="11"/>
    </row>
    <row r="20" spans="1:21" ht="15.75" thickBot="1">
      <c r="A20" s="147" t="s">
        <v>28</v>
      </c>
      <c r="B20" s="250" t="s">
        <v>105</v>
      </c>
      <c r="C20" s="251"/>
      <c r="D20" s="251"/>
      <c r="E20" s="251"/>
      <c r="F20" s="251"/>
      <c r="G20" s="251"/>
      <c r="H20" s="252"/>
      <c r="J20" s="15"/>
      <c r="K20" s="15"/>
      <c r="L20" s="15"/>
      <c r="M20" s="15"/>
      <c r="N20" s="60"/>
      <c r="O20" s="59"/>
      <c r="P20" s="11"/>
      <c r="Q20" s="11"/>
      <c r="R20" s="11"/>
      <c r="S20" s="11"/>
      <c r="T20" s="11"/>
      <c r="U20" s="11"/>
    </row>
    <row r="21" spans="1:21" ht="15.75" thickBot="1">
      <c r="A21" s="257" t="s">
        <v>62</v>
      </c>
      <c r="B21" s="258"/>
      <c r="C21" s="258"/>
      <c r="D21" s="258"/>
      <c r="E21" s="258"/>
      <c r="F21" s="258"/>
      <c r="G21" s="258"/>
      <c r="H21" s="259"/>
      <c r="J21" s="260" t="s">
        <v>63</v>
      </c>
      <c r="K21" s="260"/>
      <c r="L21" s="260"/>
      <c r="M21" s="260"/>
      <c r="N21" s="260"/>
      <c r="O21" s="260"/>
      <c r="P21" s="11"/>
      <c r="Q21" s="11"/>
      <c r="R21" s="11"/>
      <c r="S21" s="11"/>
      <c r="T21" s="11"/>
      <c r="U21" s="11"/>
    </row>
    <row r="22" spans="1:21" ht="15.75" thickBot="1">
      <c r="A22" s="147" t="s">
        <v>25</v>
      </c>
      <c r="B22" s="244"/>
      <c r="C22" s="245"/>
      <c r="D22" s="245"/>
      <c r="E22" s="245"/>
      <c r="F22" s="245"/>
      <c r="G22" s="245"/>
      <c r="H22" s="246"/>
      <c r="J22" s="281" t="s">
        <v>64</v>
      </c>
      <c r="K22" s="281"/>
      <c r="L22" s="281" t="s">
        <v>65</v>
      </c>
      <c r="M22" s="281"/>
      <c r="N22" s="282" t="s">
        <v>66</v>
      </c>
      <c r="O22" s="282"/>
      <c r="P22" s="11"/>
      <c r="Q22" s="11"/>
      <c r="R22" s="11"/>
      <c r="S22" s="11"/>
      <c r="T22" s="11"/>
      <c r="U22" s="11"/>
    </row>
    <row r="23" spans="1:21" ht="15.75" thickBot="1">
      <c r="A23" s="147" t="s">
        <v>23</v>
      </c>
      <c r="B23" s="244"/>
      <c r="C23" s="245"/>
      <c r="D23" s="245"/>
      <c r="E23" s="245"/>
      <c r="F23" s="245"/>
      <c r="G23" s="245"/>
      <c r="H23" s="246"/>
      <c r="J23" s="254" t="s">
        <v>70</v>
      </c>
      <c r="K23" s="254"/>
      <c r="L23" s="254">
        <v>1</v>
      </c>
      <c r="M23" s="254"/>
      <c r="N23" s="254" t="s">
        <v>67</v>
      </c>
      <c r="O23" s="254"/>
      <c r="P23" s="4" t="s">
        <v>151</v>
      </c>
      <c r="Q23" s="11"/>
      <c r="R23" s="11"/>
      <c r="S23" s="11"/>
      <c r="T23" s="11"/>
      <c r="U23" s="11"/>
    </row>
    <row r="24" spans="1:21" ht="15.75" thickBot="1">
      <c r="A24" s="147" t="s">
        <v>24</v>
      </c>
      <c r="B24" s="244"/>
      <c r="C24" s="245"/>
      <c r="D24" s="245"/>
      <c r="E24" s="245"/>
      <c r="F24" s="245"/>
      <c r="G24" s="245"/>
      <c r="H24" s="246"/>
      <c r="J24" s="254" t="s">
        <v>101</v>
      </c>
      <c r="K24" s="254"/>
      <c r="L24" s="254">
        <v>12.3612</v>
      </c>
      <c r="M24" s="254"/>
      <c r="N24" s="254" t="s">
        <v>98</v>
      </c>
      <c r="O24" s="254"/>
      <c r="P24" s="4" t="s">
        <v>152</v>
      </c>
      <c r="Q24" s="11"/>
      <c r="R24" s="11"/>
      <c r="S24" s="11"/>
      <c r="T24" s="11"/>
      <c r="U24" s="11"/>
    </row>
    <row r="25" spans="1:21" ht="15.75" thickBot="1">
      <c r="A25" s="147" t="s">
        <v>13</v>
      </c>
      <c r="B25" s="244"/>
      <c r="C25" s="245"/>
      <c r="D25" s="245"/>
      <c r="E25" s="245"/>
      <c r="F25" s="245"/>
      <c r="G25" s="245"/>
      <c r="H25" s="246"/>
      <c r="J25" s="254" t="s">
        <v>71</v>
      </c>
      <c r="K25" s="254"/>
      <c r="L25" s="254">
        <v>17.34</v>
      </c>
      <c r="M25" s="254"/>
      <c r="N25" s="254" t="s">
        <v>69</v>
      </c>
      <c r="O25" s="254"/>
      <c r="P25" s="14" t="s">
        <v>153</v>
      </c>
      <c r="Q25" s="11"/>
      <c r="R25" s="11"/>
      <c r="S25" s="11"/>
      <c r="T25" s="11"/>
      <c r="U25" s="11"/>
    </row>
    <row r="26" spans="1:21" ht="15.75" thickBot="1">
      <c r="A26" s="147" t="s">
        <v>14</v>
      </c>
      <c r="B26" s="244"/>
      <c r="C26" s="245"/>
      <c r="D26" s="245"/>
      <c r="E26" s="245"/>
      <c r="F26" s="245"/>
      <c r="G26" s="245"/>
      <c r="H26" s="246"/>
      <c r="J26" s="15"/>
      <c r="K26" s="15"/>
      <c r="L26" s="15"/>
      <c r="M26" s="15"/>
      <c r="N26" s="60"/>
      <c r="O26" s="59"/>
      <c r="P26" s="11"/>
      <c r="Q26" s="11"/>
      <c r="R26" s="11"/>
      <c r="S26" s="11"/>
      <c r="T26" s="11"/>
      <c r="U26" s="11"/>
    </row>
    <row r="27" spans="1:21" ht="15.75" thickBot="1">
      <c r="A27" s="147" t="s">
        <v>15</v>
      </c>
      <c r="B27" s="244"/>
      <c r="C27" s="245"/>
      <c r="D27" s="245"/>
      <c r="E27" s="245"/>
      <c r="F27" s="245"/>
      <c r="G27" s="245"/>
      <c r="H27" s="246"/>
      <c r="J27" s="272" t="s">
        <v>109</v>
      </c>
      <c r="K27" s="273"/>
      <c r="L27" s="273"/>
      <c r="N27" s="5"/>
      <c r="O27" s="11"/>
      <c r="P27" s="11"/>
      <c r="Q27" s="11"/>
      <c r="R27" s="11"/>
      <c r="S27" s="11"/>
      <c r="T27" s="11"/>
      <c r="U27" s="11"/>
    </row>
    <row r="28" spans="1:21" ht="15.75" thickBot="1">
      <c r="A28" s="147" t="s">
        <v>26</v>
      </c>
      <c r="B28" s="244"/>
      <c r="C28" s="245"/>
      <c r="D28" s="245"/>
      <c r="E28" s="245"/>
      <c r="F28" s="245"/>
      <c r="G28" s="245"/>
      <c r="H28" s="246"/>
      <c r="J28" s="110" t="s">
        <v>110</v>
      </c>
      <c r="K28" s="255" t="s">
        <v>228</v>
      </c>
      <c r="L28" s="256"/>
      <c r="N28" s="5"/>
      <c r="O28" s="11"/>
      <c r="P28" s="11"/>
      <c r="Q28" s="11"/>
      <c r="R28" s="11"/>
      <c r="S28" s="11"/>
      <c r="T28" s="11"/>
      <c r="U28" s="11"/>
    </row>
    <row r="29" spans="1:21" ht="15.75" thickBot="1">
      <c r="A29" s="147" t="s">
        <v>27</v>
      </c>
      <c r="B29" s="244"/>
      <c r="C29" s="245"/>
      <c r="D29" s="245"/>
      <c r="E29" s="245"/>
      <c r="F29" s="245"/>
      <c r="G29" s="245"/>
      <c r="H29" s="246"/>
      <c r="J29" s="110" t="s">
        <v>111</v>
      </c>
      <c r="K29" s="274" t="str">
        <f>IF(CFD!F2&lt;&gt;"",CFD!F2,CFD!F1)</f>
        <v>FACTURA</v>
      </c>
      <c r="L29" s="275"/>
      <c r="N29" s="5"/>
      <c r="O29" s="11"/>
      <c r="P29" s="11"/>
      <c r="Q29" s="11"/>
      <c r="R29" s="11"/>
      <c r="S29" s="11"/>
      <c r="T29" s="11"/>
      <c r="U29" s="11"/>
    </row>
    <row r="30" spans="1:21" ht="15.75" thickBot="1">
      <c r="A30" s="147" t="s">
        <v>28</v>
      </c>
      <c r="B30" s="247"/>
      <c r="C30" s="248"/>
      <c r="D30" s="248"/>
      <c r="E30" s="248"/>
      <c r="F30" s="248"/>
      <c r="G30" s="248"/>
      <c r="H30" s="249"/>
      <c r="J30" s="110" t="s">
        <v>112</v>
      </c>
      <c r="K30" s="276" t="s">
        <v>113</v>
      </c>
      <c r="L30" s="277"/>
      <c r="N30" s="5"/>
      <c r="O30" s="11"/>
      <c r="P30" s="11"/>
      <c r="Q30" s="11"/>
      <c r="R30" s="11"/>
      <c r="S30" s="11"/>
      <c r="T30" s="11"/>
      <c r="U30" s="11"/>
    </row>
    <row r="31" spans="1:21" s="3" customFormat="1" ht="15.75" thickBot="1">
      <c r="A31" s="147" t="s">
        <v>97</v>
      </c>
      <c r="B31" s="247"/>
      <c r="C31" s="248"/>
      <c r="D31" s="248"/>
      <c r="E31" s="248"/>
      <c r="F31" s="248"/>
      <c r="G31" s="248"/>
      <c r="H31" s="249"/>
      <c r="J31" s="110" t="s">
        <v>114</v>
      </c>
      <c r="K31" s="277" t="s">
        <v>116</v>
      </c>
      <c r="L31" s="277"/>
      <c r="N31" s="13"/>
      <c r="O31" s="16"/>
      <c r="P31" s="16"/>
      <c r="Q31" s="16"/>
      <c r="R31" s="16"/>
      <c r="S31" s="16"/>
      <c r="T31" s="16"/>
      <c r="U31" s="16"/>
    </row>
    <row r="32" spans="1:21" s="3" customFormat="1" ht="15.75" thickBot="1">
      <c r="G32" s="4"/>
      <c r="H32" s="4"/>
      <c r="N32" s="13"/>
      <c r="O32" s="4"/>
      <c r="P32" s="4"/>
      <c r="Q32" s="4"/>
      <c r="R32" s="4"/>
      <c r="S32" s="4"/>
      <c r="T32" s="16"/>
      <c r="U32" s="16"/>
    </row>
    <row r="33" spans="1:21" s="3" customFormat="1" ht="15.75" thickBot="1">
      <c r="A33" s="270" t="s">
        <v>29</v>
      </c>
      <c r="B33" s="271"/>
      <c r="C33" s="271"/>
      <c r="G33" s="4"/>
      <c r="I33" s="4"/>
      <c r="J33" s="111"/>
      <c r="K33" s="112"/>
      <c r="L33" s="112"/>
      <c r="M33" s="113"/>
      <c r="N33" s="16"/>
      <c r="O33" s="4"/>
      <c r="P33" s="4"/>
      <c r="Q33" s="4"/>
      <c r="R33" s="4"/>
      <c r="S33" s="5">
        <f>MIN(Q:Q)</f>
        <v>35</v>
      </c>
      <c r="T33" s="16"/>
      <c r="U33" s="16"/>
    </row>
    <row r="34" spans="1:21" s="3" customFormat="1" ht="30.75" thickBot="1">
      <c r="A34" s="6" t="s">
        <v>30</v>
      </c>
      <c r="B34" s="12" t="s">
        <v>31</v>
      </c>
      <c r="C34" s="7" t="s">
        <v>40</v>
      </c>
      <c r="G34" s="4"/>
      <c r="H34" s="4"/>
      <c r="I34" s="4"/>
      <c r="J34" s="261" t="s">
        <v>41</v>
      </c>
      <c r="K34" s="262"/>
      <c r="L34" s="4"/>
      <c r="M34" s="113"/>
      <c r="N34" s="16"/>
      <c r="O34" s="18" t="s">
        <v>37</v>
      </c>
      <c r="P34" s="18" t="s">
        <v>38</v>
      </c>
      <c r="Q34" s="18" t="s">
        <v>39</v>
      </c>
      <c r="R34" s="4"/>
      <c r="S34" s="5">
        <f>MAX(Q:Q)</f>
        <v>35</v>
      </c>
      <c r="T34" s="16"/>
      <c r="U34" s="16"/>
    </row>
    <row r="35" spans="1:21" s="3" customFormat="1">
      <c r="A35" s="142" t="s">
        <v>227</v>
      </c>
      <c r="B35" s="62">
        <v>1</v>
      </c>
      <c r="C35" s="8" t="str">
        <f>IF(P35="","",A35&amp;IF(A35="",""," - ")&amp;P35)</f>
        <v>M - 36</v>
      </c>
      <c r="D35" s="57"/>
      <c r="E35" s="57"/>
      <c r="F35" s="8"/>
      <c r="G35" s="9"/>
      <c r="H35" s="4"/>
      <c r="I35" s="4"/>
      <c r="J35" s="253" t="s">
        <v>150</v>
      </c>
      <c r="K35" s="253"/>
      <c r="L35" s="4"/>
      <c r="M35" s="113"/>
      <c r="N35" s="16"/>
      <c r="O35" s="13">
        <v>35</v>
      </c>
      <c r="P35" s="4">
        <f>IF(B35="","",IF(O35&lt;&gt;"",O35+1,B35))</f>
        <v>36</v>
      </c>
      <c r="Q35" s="114">
        <f>ROW()</f>
        <v>35</v>
      </c>
      <c r="R35" s="4"/>
      <c r="S35" s="4"/>
      <c r="T35" s="16"/>
      <c r="U35" s="16"/>
    </row>
    <row r="36" spans="1:21">
      <c r="J36" s="253" t="s">
        <v>149</v>
      </c>
      <c r="K36" s="253"/>
      <c r="O36" s="11"/>
      <c r="P36" s="11"/>
      <c r="Q36" s="11"/>
      <c r="R36" s="11"/>
      <c r="S36" s="11"/>
      <c r="T36" s="11"/>
    </row>
    <row r="37" spans="1:21">
      <c r="N37" s="17"/>
      <c r="O37" s="11"/>
      <c r="P37" s="11"/>
      <c r="Q37" s="11"/>
      <c r="R37" s="11"/>
      <c r="S37" s="11"/>
      <c r="T37" s="17"/>
      <c r="U37" s="17"/>
    </row>
    <row r="38" spans="1:21">
      <c r="N38" s="17"/>
      <c r="O38" s="11"/>
      <c r="P38" s="11"/>
      <c r="Q38" s="11"/>
      <c r="R38" s="11"/>
      <c r="S38" s="11"/>
      <c r="T38" s="17"/>
      <c r="U38" s="17"/>
    </row>
    <row r="39" spans="1:21">
      <c r="N39" s="17"/>
      <c r="O39" s="11"/>
      <c r="P39" s="11"/>
      <c r="Q39" s="11"/>
      <c r="R39" s="11"/>
      <c r="S39" s="11"/>
      <c r="T39" s="17"/>
      <c r="U39" s="17"/>
    </row>
    <row r="40" spans="1:21">
      <c r="N40" s="17"/>
      <c r="O40" s="11"/>
      <c r="P40" s="11"/>
      <c r="Q40" s="11"/>
      <c r="R40" s="11"/>
      <c r="S40" s="11"/>
      <c r="T40" s="17"/>
      <c r="U40" s="14"/>
    </row>
    <row r="41" spans="1:21">
      <c r="O41" s="11"/>
      <c r="P41" s="11"/>
      <c r="Q41" s="11"/>
      <c r="R41" s="11"/>
      <c r="S41" s="11"/>
      <c r="T41" s="11"/>
    </row>
    <row r="42" spans="1:21">
      <c r="O42" s="11"/>
      <c r="P42" s="11"/>
      <c r="Q42" s="11"/>
      <c r="R42" s="11"/>
      <c r="S42" s="11"/>
      <c r="T42" s="11"/>
    </row>
    <row r="43" spans="1:21">
      <c r="O43" s="11"/>
      <c r="P43" s="11"/>
      <c r="Q43" s="11"/>
      <c r="R43" s="11"/>
      <c r="S43" s="11"/>
      <c r="T43" s="11"/>
    </row>
    <row r="44" spans="1:21">
      <c r="O44" s="11"/>
      <c r="P44" s="11"/>
      <c r="Q44" s="11"/>
      <c r="R44" s="11"/>
      <c r="S44" s="11"/>
      <c r="T44" s="11"/>
    </row>
    <row r="45" spans="1:21">
      <c r="O45" s="11"/>
      <c r="P45" s="11"/>
      <c r="Q45" s="11"/>
      <c r="R45" s="11"/>
      <c r="S45" s="11"/>
      <c r="T45" s="11"/>
    </row>
    <row r="46" spans="1:21">
      <c r="O46" s="11"/>
      <c r="P46" s="11"/>
      <c r="Q46" s="11"/>
      <c r="R46" s="11"/>
      <c r="S46" s="11"/>
      <c r="T46" s="11"/>
    </row>
    <row r="47" spans="1:21">
      <c r="O47" s="11"/>
      <c r="P47" s="11"/>
      <c r="Q47" s="11"/>
      <c r="R47" s="11"/>
      <c r="S47" s="11"/>
      <c r="T47" s="11"/>
    </row>
    <row r="48" spans="1:21">
      <c r="O48" s="11"/>
      <c r="P48" s="11"/>
      <c r="Q48" s="11"/>
      <c r="R48" s="11"/>
      <c r="S48" s="11"/>
      <c r="T48" s="11"/>
    </row>
    <row r="49" spans="15:20">
      <c r="O49" s="11"/>
      <c r="P49" s="11"/>
      <c r="Q49" s="11"/>
      <c r="R49" s="11"/>
      <c r="S49" s="11"/>
      <c r="T49" s="11"/>
    </row>
    <row r="50" spans="15:20">
      <c r="O50" s="11"/>
      <c r="P50" s="11"/>
      <c r="Q50" s="11"/>
      <c r="R50" s="11"/>
      <c r="S50" s="11"/>
      <c r="T50" s="11"/>
    </row>
    <row r="51" spans="15:20">
      <c r="O51" s="11"/>
      <c r="P51" s="11"/>
      <c r="Q51" s="11"/>
      <c r="R51" s="11"/>
      <c r="S51" s="11"/>
      <c r="T51" s="11"/>
    </row>
    <row r="52" spans="15:20">
      <c r="O52" s="11"/>
      <c r="P52" s="11"/>
      <c r="Q52" s="11"/>
      <c r="R52" s="11"/>
      <c r="S52" s="11"/>
      <c r="T52" s="11"/>
    </row>
    <row r="53" spans="15:20">
      <c r="O53" s="11"/>
      <c r="P53" s="11"/>
      <c r="Q53" s="11"/>
      <c r="R53" s="11"/>
      <c r="S53" s="11"/>
      <c r="T53" s="11"/>
    </row>
    <row r="54" spans="15:20">
      <c r="O54" s="11"/>
      <c r="P54" s="11"/>
      <c r="Q54" s="11"/>
      <c r="R54" s="11"/>
      <c r="S54" s="11"/>
      <c r="T54" s="11"/>
    </row>
    <row r="55" spans="15:20">
      <c r="O55" s="11"/>
      <c r="P55" s="11"/>
      <c r="Q55" s="11"/>
      <c r="R55" s="11"/>
      <c r="S55" s="11"/>
      <c r="T55" s="11"/>
    </row>
    <row r="56" spans="15:20">
      <c r="O56" s="11"/>
      <c r="P56" s="11"/>
      <c r="Q56" s="11"/>
      <c r="R56" s="11"/>
      <c r="S56" s="11"/>
      <c r="T56" s="11"/>
    </row>
    <row r="57" spans="15:20">
      <c r="O57" s="11"/>
      <c r="P57" s="11"/>
      <c r="Q57" s="11"/>
      <c r="R57" s="11"/>
      <c r="S57" s="11"/>
      <c r="T57" s="11"/>
    </row>
    <row r="58" spans="15:20">
      <c r="O58" s="11"/>
      <c r="P58" s="11"/>
      <c r="Q58" s="11"/>
      <c r="R58" s="11"/>
      <c r="S58" s="11"/>
      <c r="T58" s="11"/>
    </row>
    <row r="59" spans="15:20">
      <c r="O59" s="11"/>
      <c r="P59" s="11"/>
      <c r="Q59" s="11"/>
      <c r="R59" s="11"/>
      <c r="S59" s="11"/>
      <c r="T59" s="11"/>
    </row>
    <row r="60" spans="15:20">
      <c r="O60" s="11"/>
      <c r="P60" s="11"/>
      <c r="Q60" s="11"/>
      <c r="R60" s="11"/>
      <c r="S60" s="11"/>
      <c r="T60" s="11"/>
    </row>
  </sheetData>
  <sheetProtection password="A85C" sheet="1" objects="1" scenarios="1"/>
  <protectedRanges>
    <protectedRange sqref="B7:H7 B8:H8" name="Rango2"/>
    <protectedRange sqref="B3:H3" name="Rango1"/>
  </protectedRanges>
  <dataConsolidate/>
  <mergeCells count="59">
    <mergeCell ref="M2:N2"/>
    <mergeCell ref="A33:C33"/>
    <mergeCell ref="J27:L27"/>
    <mergeCell ref="K29:L29"/>
    <mergeCell ref="K30:L30"/>
    <mergeCell ref="K31:L31"/>
    <mergeCell ref="J24:K24"/>
    <mergeCell ref="L24:M24"/>
    <mergeCell ref="N24:O24"/>
    <mergeCell ref="J25:K25"/>
    <mergeCell ref="M4:N4"/>
    <mergeCell ref="M5:N5"/>
    <mergeCell ref="J22:K22"/>
    <mergeCell ref="L22:M22"/>
    <mergeCell ref="N22:O22"/>
    <mergeCell ref="J23:K23"/>
    <mergeCell ref="J1:K1"/>
    <mergeCell ref="J14:K14"/>
    <mergeCell ref="J5:K5"/>
    <mergeCell ref="A1:H1"/>
    <mergeCell ref="B8:H8"/>
    <mergeCell ref="A11:H11"/>
    <mergeCell ref="B7:H7"/>
    <mergeCell ref="B2:G2"/>
    <mergeCell ref="B3:H3"/>
    <mergeCell ref="A4:H4"/>
    <mergeCell ref="B5:G5"/>
    <mergeCell ref="B6:H6"/>
    <mergeCell ref="L23:M23"/>
    <mergeCell ref="N23:O23"/>
    <mergeCell ref="J21:O21"/>
    <mergeCell ref="J34:K34"/>
    <mergeCell ref="J35:K35"/>
    <mergeCell ref="J36:K36"/>
    <mergeCell ref="L25:M25"/>
    <mergeCell ref="N25:O25"/>
    <mergeCell ref="K28:L28"/>
    <mergeCell ref="A9:H9"/>
    <mergeCell ref="B10:G10"/>
    <mergeCell ref="B17:H17"/>
    <mergeCell ref="B25:H25"/>
    <mergeCell ref="B12:H12"/>
    <mergeCell ref="B13:H13"/>
    <mergeCell ref="B14:H14"/>
    <mergeCell ref="A21:H21"/>
    <mergeCell ref="B26:H26"/>
    <mergeCell ref="B18:H18"/>
    <mergeCell ref="B19:H19"/>
    <mergeCell ref="B31:H31"/>
    <mergeCell ref="B15:H15"/>
    <mergeCell ref="B16:H16"/>
    <mergeCell ref="B20:H20"/>
    <mergeCell ref="B22:H22"/>
    <mergeCell ref="B23:H23"/>
    <mergeCell ref="B24:H24"/>
    <mergeCell ref="B28:H28"/>
    <mergeCell ref="B29:H29"/>
    <mergeCell ref="B30:H30"/>
    <mergeCell ref="B27:H27"/>
  </mergeCells>
  <dataValidations count="17">
    <dataValidation type="textLength" operator="greaterThan" allowBlank="1" showInputMessage="1" showErrorMessage="1" error="Debe de especificar la ruta donde se almacenaran los CFD's" prompt="Ruta de Almacenamiento de los CFD’s (Respaldo)" sqref="M2:Q2">
      <formula1>0</formula1>
    </dataValidation>
    <dataValidation type="textLength" operator="greaterThan" showInputMessage="1" showErrorMessage="1" error="Debe de especificar la contraseña" prompt="Contraseña de LLave Privada" sqref="B3:H3">
      <formula1>0</formula1>
    </dataValidation>
    <dataValidation type="textLength" operator="greaterThan" showInputMessage="1" showErrorMessage="1" error="Debe de especificar la ruta del archivo de llave privada" prompt="Archivo de Llave Privada (.KEY)" sqref="B2:G2">
      <formula1>0</formula1>
    </dataValidation>
    <dataValidation type="textLength" operator="greaterThan" showInputMessage="1" showErrorMessage="1" error="Debe de especificar la ruta del archivo del Certificado" prompt="Archivo de Certificado (.CER)" sqref="B5:G5">
      <formula1>0</formula1>
    </dataValidation>
    <dataValidation type="textLength" operator="greaterThan" showInputMessage="1" showErrorMessage="1" error="Debe de especificar la ruta donde se almacenaran los CFD's" prompt="Ruta de Almacenamiento de los CFD’s" sqref="B10:G10">
      <formula1>0</formula1>
    </dataValidation>
    <dataValidation type="textLength" operator="greaterThan" showInputMessage="1" showErrorMessage="1" error="Debe de especificar la Calle" prompt="El valor del campo Calle es Obligatorio" sqref="B12:H12">
      <formula1>0</formula1>
    </dataValidation>
    <dataValidation type="textLength" operator="greaterThan" showInputMessage="1" showErrorMessage="1" error="Debe de especificar el Municipio" prompt="El valor del campo Municipio es Obligatorio" sqref="B18:H18">
      <formula1>0</formula1>
    </dataValidation>
    <dataValidation type="textLength" operator="greaterThan" showInputMessage="1" showErrorMessage="1" error="Debe de especificar el Estado" prompt="El valor del campo Estado es Obligatorio" sqref="B19:H19">
      <formula1>0</formula1>
    </dataValidation>
    <dataValidation type="textLength" operator="greaterThan" showInputMessage="1" showErrorMessage="1" error="Debe de especificar el C.P." prompt="El valor del campo C.P. es Obligatorio" sqref="B20:H20">
      <formula1>0</formula1>
    </dataValidation>
    <dataValidation type="textLength" showInputMessage="1" showErrorMessage="1" error="Debe especificar el RFC" prompt="El valor del campo RFC es Obligatorio, y debe de ser de 12 a 13 caracteres" sqref="B7:H7">
      <formula1>12</formula1>
      <formula2>13</formula2>
    </dataValidation>
    <dataValidation type="textLength" operator="greaterThan" allowBlank="1" showInputMessage="1" showErrorMessage="1" error="Debe especificar la Razon Social" prompt="El valor del campo Razon Social es Obligatorio" sqref="B8:H8">
      <formula1>0</formula1>
    </dataValidation>
    <dataValidation operator="greaterThan" error="Debe de especificar el C.P." prompt="El valor del campo C.P. es Obligatorio" sqref="B30:H31"/>
    <dataValidation operator="greaterThan" error="Debe de especificar el Estado" prompt="El valor del campo Estado es Obligatorio" sqref="B29:H29"/>
    <dataValidation operator="greaterThan" error="Debe de especificar el Municipio" prompt="El valor del campo Municipio es Obligatorio" sqref="B28:H28"/>
    <dataValidation operator="greaterThan" error="Debe de especificar la Calle" prompt="El valor del campo Calle es Obligatorio" sqref="B22:H22"/>
    <dataValidation type="list" allowBlank="1" showInputMessage="1" showErrorMessage="1" sqref="K31:L31">
      <formula1>$T$1:$T$2</formula1>
    </dataValidation>
    <dataValidation type="textLength" operator="lessThanOrEqual" allowBlank="1" showInputMessage="1" showErrorMessage="1" sqref="A35">
      <formula1>25</formula1>
    </dataValidation>
  </dataValidations>
  <hyperlinks>
    <hyperlink ref="K28" r:id="rId1"/>
  </hyperlinks>
  <pageMargins left="0.7" right="0.7" top="0.75" bottom="0.75" header="0.3" footer="0.3"/>
  <pageSetup paperSize="9" orientation="portrait" r:id="rId2"/>
  <legacyDrawing r:id="rId3"/>
  <controls>
    <control shapeId="1094" r:id="rId4" name="btn_registro"/>
    <control shapeId="1091" r:id="rId5" name="btnValidarClave"/>
    <control shapeId="1090" r:id="rId6" name="chkISH1"/>
    <control shapeId="1089" r:id="rId7" name="chkISH"/>
    <control shapeId="1076" r:id="rId8" name="chkImporte"/>
    <control shapeId="1074" r:id="rId9" name="chkCodigo"/>
    <control shapeId="1075" r:id="rId10" name="chkUnidad"/>
    <control shapeId="1067" r:id="rId11" name="chkDescuentos"/>
    <control shapeId="1068" r:id="rId12" name="chkIEPS"/>
    <control shapeId="1069" r:id="rId13" name="chkIVA"/>
    <control shapeId="1081" r:id="rId14" name="chkTotalISR"/>
    <control shapeId="1082" r:id="rId15" name="chkTotalRetencionIVA"/>
    <control shapeId="1083" r:id="rId16" name="chkTotalIEPS"/>
    <control shapeId="1084" r:id="rId17" name="chkTotalDescuento"/>
    <control shapeId="1086" r:id="rId18" name="btnLlavePrivada"/>
    <control shapeId="1087" r:id="rId19" name="btnCertificado"/>
    <control shapeId="1088" r:id="rId20" name="btnRepositorio"/>
    <control shapeId="1093" r:id="rId21" name="btnRepoRespaldo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CFD</vt:lpstr>
      <vt:lpstr>Productos</vt:lpstr>
      <vt:lpstr>Clientes</vt:lpstr>
      <vt:lpstr>Config</vt:lpstr>
      <vt:lpstr>CFD!Área_de_impresión</vt:lpstr>
    </vt:vector>
  </TitlesOfParts>
  <Company>Daysoft S.A de C.V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Daysoft_5</dc:creator>
  <cp:lastModifiedBy>LPENA</cp:lastModifiedBy>
  <cp:lastPrinted>2014-08-01T00:11:52Z</cp:lastPrinted>
  <dcterms:created xsi:type="dcterms:W3CDTF">2010-08-09T18:24:01Z</dcterms:created>
  <dcterms:modified xsi:type="dcterms:W3CDTF">2014-10-27T19:45:00Z</dcterms:modified>
</cp:coreProperties>
</file>